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universidaddesantnader-my.sharepoint.com/personal/rankings_udes_edu_co/Documents/2026/THE Impact 2027 (analisis 2026)/"/>
    </mc:Choice>
  </mc:AlternateContent>
  <xr:revisionPtr revIDLastSave="0" documentId="8_{11EB84E1-4876-40CA-AA07-23AD4E9D8EAC}" xr6:coauthVersionLast="47" xr6:coauthVersionMax="47" xr10:uidLastSave="{00000000-0000-0000-0000-000000000000}"/>
  <bookViews>
    <workbookView xWindow="-120" yWindow="-120" windowWidth="29040" windowHeight="15840" firstSheet="4" activeTab="4" xr2:uid="{00000000-000D-0000-FFFF-FFFF00000000}"/>
  </bookViews>
  <sheets>
    <sheet name="summary" sheetId="1" r:id="rId1"/>
    <sheet name="example" sheetId="2" r:id="rId2"/>
    <sheet name="SDG1" sheetId="3" state="hidden" r:id="rId3"/>
    <sheet name="SDG2" sheetId="23" state="hidden" r:id="rId4"/>
    <sheet name="SDG3" sheetId="5" r:id="rId5"/>
    <sheet name="SDG4" sheetId="6" r:id="rId6"/>
    <sheet name="SDG5" sheetId="8" r:id="rId7"/>
    <sheet name="SDG6" sheetId="7" r:id="rId8"/>
    <sheet name="SDG7" sheetId="9" r:id="rId9"/>
    <sheet name="SDG8" sheetId="10" r:id="rId10"/>
    <sheet name="SDG9" sheetId="11" r:id="rId11"/>
    <sheet name="SDG10" sheetId="14" r:id="rId12"/>
    <sheet name="SDG11" sheetId="15" r:id="rId13"/>
    <sheet name="SDG12" sheetId="16" r:id="rId14"/>
    <sheet name="SDG13" sheetId="17" r:id="rId15"/>
    <sheet name="SDG14" sheetId="18" r:id="rId16"/>
    <sheet name="SDG15" sheetId="19" r:id="rId17"/>
    <sheet name="SDG16" sheetId="20" r:id="rId18"/>
    <sheet name="SDG17" sheetId="21" r:id="rId19"/>
    <sheet name="CONTROL UDES 2026" sheetId="24"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2" i="24" l="1"/>
  <c r="N72" i="24"/>
  <c r="M72" i="24"/>
  <c r="L72" i="24"/>
  <c r="K72" i="24"/>
  <c r="J72" i="24"/>
  <c r="I72" i="24"/>
  <c r="H72" i="24"/>
  <c r="G72" i="24"/>
  <c r="F72" i="24"/>
  <c r="E72" i="24"/>
  <c r="D72" i="24"/>
  <c r="C72" i="24"/>
  <c r="B72" i="24"/>
  <c r="A72" i="24"/>
  <c r="O71" i="24"/>
  <c r="N71" i="24"/>
  <c r="M71" i="24"/>
  <c r="L71" i="24"/>
  <c r="K71" i="24"/>
  <c r="J71" i="24"/>
  <c r="H71" i="24"/>
  <c r="G71" i="24"/>
  <c r="F71" i="24"/>
  <c r="E71" i="24"/>
  <c r="D71" i="24"/>
  <c r="C71" i="24"/>
  <c r="B71" i="24"/>
  <c r="A71" i="24"/>
  <c r="O70" i="24"/>
  <c r="N70" i="24"/>
  <c r="M70" i="24"/>
  <c r="L70" i="24"/>
  <c r="K70" i="24"/>
  <c r="J70" i="24"/>
  <c r="H70" i="24"/>
  <c r="G70" i="24"/>
  <c r="F70" i="24"/>
  <c r="E70" i="24"/>
  <c r="D70" i="24"/>
  <c r="C70" i="24"/>
  <c r="B70" i="24"/>
  <c r="A70" i="24"/>
  <c r="O69" i="24"/>
  <c r="N69" i="24"/>
  <c r="M69" i="24"/>
  <c r="L69" i="24"/>
  <c r="K69" i="24"/>
  <c r="J69" i="24"/>
  <c r="H69" i="24"/>
  <c r="G69" i="24"/>
  <c r="F69" i="24"/>
  <c r="E69" i="24"/>
  <c r="D69" i="24"/>
  <c r="C69" i="24"/>
  <c r="B69" i="24"/>
  <c r="A69" i="24"/>
  <c r="O68" i="24"/>
  <c r="N68" i="24"/>
  <c r="M68" i="24"/>
  <c r="L68" i="24"/>
  <c r="K68" i="24"/>
  <c r="J68" i="24"/>
  <c r="H68" i="24"/>
  <c r="G68" i="24"/>
  <c r="F68" i="24"/>
  <c r="E68" i="24"/>
  <c r="D68" i="24"/>
  <c r="C68" i="24"/>
  <c r="B68" i="24"/>
  <c r="A68" i="24"/>
  <c r="O67" i="24"/>
  <c r="N67" i="24"/>
  <c r="M67" i="24"/>
  <c r="L67" i="24"/>
  <c r="K67" i="24"/>
  <c r="J67" i="24"/>
  <c r="H67" i="24"/>
  <c r="G67" i="24"/>
  <c r="F67" i="24"/>
  <c r="E67" i="24"/>
  <c r="D67" i="24"/>
  <c r="C67" i="24"/>
  <c r="B67" i="24"/>
  <c r="A67" i="24"/>
  <c r="O66" i="24"/>
  <c r="N66" i="24"/>
  <c r="M66" i="24"/>
  <c r="L66" i="24"/>
  <c r="K66" i="24"/>
  <c r="J66" i="24"/>
  <c r="H66" i="24"/>
  <c r="G66" i="24"/>
  <c r="F66" i="24"/>
  <c r="E66" i="24"/>
  <c r="D66" i="24"/>
  <c r="C66" i="24"/>
  <c r="B66" i="24"/>
  <c r="A66" i="24"/>
  <c r="O65" i="24"/>
  <c r="N65" i="24"/>
  <c r="M65" i="24"/>
  <c r="L65" i="24"/>
  <c r="K65" i="24"/>
  <c r="J65" i="24"/>
  <c r="H65" i="24"/>
  <c r="G65" i="24"/>
  <c r="F65" i="24"/>
  <c r="E65" i="24"/>
  <c r="D65" i="24"/>
  <c r="C65" i="24"/>
  <c r="B65" i="24"/>
  <c r="A65" i="24"/>
  <c r="O64" i="24"/>
  <c r="N64" i="24"/>
  <c r="M64" i="24"/>
  <c r="L64" i="24"/>
  <c r="K64" i="24"/>
  <c r="J64" i="24"/>
  <c r="H64" i="24"/>
  <c r="G64" i="24"/>
  <c r="F64" i="24"/>
  <c r="E64" i="24"/>
  <c r="D64" i="24"/>
  <c r="C64" i="24"/>
  <c r="B64" i="24"/>
  <c r="A64" i="24"/>
  <c r="O63" i="24"/>
  <c r="N63" i="24"/>
  <c r="M63" i="24"/>
  <c r="L63" i="24"/>
  <c r="K63" i="24"/>
  <c r="J63" i="24"/>
  <c r="H63" i="24"/>
  <c r="G63" i="24"/>
  <c r="F63" i="24"/>
  <c r="E63" i="24"/>
  <c r="D63" i="24"/>
  <c r="C63" i="24"/>
  <c r="B63" i="24"/>
  <c r="A63" i="24"/>
  <c r="O62" i="24"/>
  <c r="N62" i="24"/>
  <c r="M62" i="24"/>
  <c r="L62" i="24"/>
  <c r="K62" i="24"/>
  <c r="J62" i="24"/>
  <c r="H62" i="24"/>
  <c r="G62" i="24"/>
  <c r="F62" i="24"/>
  <c r="E62" i="24"/>
  <c r="D62" i="24"/>
  <c r="C62" i="24"/>
  <c r="B62" i="24"/>
  <c r="A62" i="24"/>
  <c r="O61" i="24"/>
  <c r="N61" i="24"/>
  <c r="M61" i="24"/>
  <c r="L61" i="24"/>
  <c r="K61" i="24"/>
  <c r="J61" i="24"/>
  <c r="H61" i="24"/>
  <c r="G61" i="24"/>
  <c r="F61" i="24"/>
  <c r="E61" i="24"/>
  <c r="D61" i="24"/>
  <c r="C61" i="24"/>
  <c r="B61" i="24"/>
  <c r="A61" i="24"/>
  <c r="O60" i="24"/>
  <c r="N60" i="24"/>
  <c r="M60" i="24"/>
  <c r="L60" i="24"/>
  <c r="K60" i="24"/>
  <c r="J60" i="24"/>
  <c r="H60" i="24"/>
  <c r="G60" i="24"/>
  <c r="F60" i="24"/>
  <c r="E60" i="24"/>
  <c r="D60" i="24"/>
  <c r="C60" i="24"/>
  <c r="B60" i="24"/>
  <c r="A60" i="24"/>
  <c r="O59" i="24"/>
  <c r="N59" i="24"/>
  <c r="M59" i="24"/>
  <c r="L59" i="24"/>
  <c r="K59" i="24"/>
  <c r="J59" i="24"/>
  <c r="H59" i="24"/>
  <c r="G59" i="24"/>
  <c r="F59" i="24"/>
  <c r="E59" i="24"/>
  <c r="D59" i="24"/>
  <c r="C59" i="24"/>
  <c r="B59" i="24"/>
  <c r="A59" i="24"/>
  <c r="O58" i="24"/>
  <c r="N58" i="24"/>
  <c r="M58" i="24"/>
  <c r="L58" i="24"/>
  <c r="K58" i="24"/>
  <c r="J58" i="24"/>
  <c r="H58" i="24"/>
  <c r="G58" i="24"/>
  <c r="F58" i="24"/>
  <c r="E58" i="24"/>
  <c r="D58" i="24"/>
  <c r="C58" i="24"/>
  <c r="B58" i="24"/>
  <c r="A58" i="24"/>
  <c r="O57" i="24"/>
  <c r="N57" i="24"/>
  <c r="M57" i="24"/>
  <c r="L57" i="24"/>
  <c r="K57" i="24"/>
  <c r="J57" i="24"/>
  <c r="H57" i="24"/>
  <c r="G57" i="24"/>
  <c r="F57" i="24"/>
  <c r="E57" i="24"/>
  <c r="D57" i="24"/>
  <c r="C57" i="24"/>
  <c r="B57" i="24"/>
  <c r="A57" i="24"/>
  <c r="O56" i="24"/>
  <c r="N56" i="24"/>
  <c r="M56" i="24"/>
  <c r="L56" i="24"/>
  <c r="K56" i="24"/>
  <c r="J56" i="24"/>
  <c r="H56" i="24"/>
  <c r="G56" i="24"/>
  <c r="F56" i="24"/>
  <c r="E56" i="24"/>
  <c r="D56" i="24"/>
  <c r="C56" i="24"/>
  <c r="B56" i="24"/>
  <c r="A56" i="24"/>
  <c r="O55" i="24"/>
  <c r="N55" i="24"/>
  <c r="M55" i="24"/>
  <c r="L55" i="24"/>
  <c r="K55" i="24"/>
  <c r="J55" i="24"/>
  <c r="H55" i="24"/>
  <c r="G55" i="24"/>
  <c r="F55" i="24"/>
  <c r="E55" i="24"/>
  <c r="D55" i="24"/>
  <c r="C55" i="24"/>
  <c r="B55" i="24"/>
  <c r="A55" i="24"/>
  <c r="O54" i="24"/>
  <c r="N54" i="24"/>
  <c r="M54" i="24"/>
  <c r="L54" i="24"/>
  <c r="K54" i="24"/>
  <c r="J54" i="24"/>
  <c r="H54" i="24"/>
  <c r="G54" i="24"/>
  <c r="F54" i="24"/>
  <c r="E54" i="24"/>
  <c r="D54" i="24"/>
  <c r="C54" i="24"/>
  <c r="B54" i="24"/>
  <c r="A54" i="24"/>
  <c r="O53" i="24"/>
  <c r="N53" i="24"/>
  <c r="M53" i="24"/>
  <c r="L53" i="24"/>
  <c r="K53" i="24"/>
  <c r="J53" i="24"/>
  <c r="H53" i="24"/>
  <c r="G53" i="24"/>
  <c r="F53" i="24"/>
  <c r="E53" i="24"/>
  <c r="D53" i="24"/>
  <c r="C53" i="24"/>
  <c r="B53" i="24"/>
  <c r="A53" i="24"/>
  <c r="O52" i="24"/>
  <c r="N52" i="24"/>
  <c r="M52" i="24"/>
  <c r="L52" i="24"/>
  <c r="K52" i="24"/>
  <c r="J52" i="24"/>
  <c r="H52" i="24"/>
  <c r="G52" i="24"/>
  <c r="F52" i="24"/>
  <c r="E52" i="24"/>
  <c r="D52" i="24"/>
  <c r="C52" i="24"/>
  <c r="B52" i="24"/>
  <c r="A52" i="24"/>
  <c r="O51" i="24"/>
  <c r="N51" i="24"/>
  <c r="M51" i="24"/>
  <c r="L51" i="24"/>
  <c r="K51" i="24"/>
  <c r="J51" i="24"/>
  <c r="H51" i="24"/>
  <c r="G51" i="24"/>
  <c r="F51" i="24"/>
  <c r="E51" i="24"/>
  <c r="D51" i="24"/>
  <c r="C51" i="24"/>
  <c r="B51" i="24"/>
  <c r="A51" i="24"/>
  <c r="O50" i="24"/>
  <c r="N50" i="24"/>
  <c r="M50" i="24"/>
  <c r="L50" i="24"/>
  <c r="K50" i="24"/>
  <c r="J50" i="24"/>
  <c r="H50" i="24"/>
  <c r="G50" i="24"/>
  <c r="F50" i="24"/>
  <c r="E50" i="24"/>
  <c r="D50" i="24"/>
  <c r="C50" i="24"/>
  <c r="B50" i="24"/>
  <c r="A50" i="24"/>
  <c r="O49" i="24"/>
  <c r="N49" i="24"/>
  <c r="M49" i="24"/>
  <c r="L49" i="24"/>
  <c r="K49" i="24"/>
  <c r="J49" i="24"/>
  <c r="H49" i="24"/>
  <c r="G49" i="24"/>
  <c r="F49" i="24"/>
  <c r="E49" i="24"/>
  <c r="D49" i="24"/>
  <c r="C49" i="24"/>
  <c r="B49" i="24"/>
  <c r="A49" i="24"/>
  <c r="O48" i="24"/>
  <c r="N48" i="24"/>
  <c r="M48" i="24"/>
  <c r="L48" i="24"/>
  <c r="K48" i="24"/>
  <c r="J48" i="24"/>
  <c r="H48" i="24"/>
  <c r="G48" i="24"/>
  <c r="F48" i="24"/>
  <c r="E48" i="24"/>
  <c r="D48" i="24"/>
  <c r="C48" i="24"/>
  <c r="B48" i="24"/>
  <c r="A48" i="24"/>
  <c r="O47" i="24"/>
  <c r="N47" i="24"/>
  <c r="M47" i="24"/>
  <c r="L47" i="24"/>
  <c r="K47" i="24"/>
  <c r="J47" i="24"/>
  <c r="H47" i="24"/>
  <c r="G47" i="24"/>
  <c r="F47" i="24"/>
  <c r="E47" i="24"/>
  <c r="D47" i="24"/>
  <c r="C47" i="24"/>
  <c r="B47" i="24"/>
  <c r="A47" i="24"/>
  <c r="O46" i="24"/>
  <c r="N46" i="24"/>
  <c r="M46" i="24"/>
  <c r="L46" i="24"/>
  <c r="K46" i="24"/>
  <c r="J46" i="24"/>
  <c r="H46" i="24"/>
  <c r="G46" i="24"/>
  <c r="F46" i="24"/>
  <c r="E46" i="24"/>
  <c r="D46" i="24"/>
  <c r="C46" i="24"/>
  <c r="B46" i="24"/>
  <c r="A46" i="24"/>
  <c r="O45" i="24"/>
  <c r="N45" i="24"/>
  <c r="M45" i="24"/>
  <c r="L45" i="24"/>
  <c r="K45" i="24"/>
  <c r="J45" i="24"/>
  <c r="H45" i="24"/>
  <c r="G45" i="24"/>
  <c r="F45" i="24"/>
  <c r="E45" i="24"/>
  <c r="D45" i="24"/>
  <c r="C45" i="24"/>
  <c r="B45" i="24"/>
  <c r="A45" i="24"/>
  <c r="O44" i="24"/>
  <c r="N44" i="24"/>
  <c r="M44" i="24"/>
  <c r="L44" i="24"/>
  <c r="K44" i="24"/>
  <c r="J44" i="24"/>
  <c r="H44" i="24"/>
  <c r="G44" i="24"/>
  <c r="F44" i="24"/>
  <c r="E44" i="24"/>
  <c r="D44" i="24"/>
  <c r="C44" i="24"/>
  <c r="B44" i="24"/>
  <c r="A44" i="24"/>
  <c r="O43" i="24"/>
  <c r="N43" i="24"/>
  <c r="M43" i="24"/>
  <c r="L43" i="24"/>
  <c r="K43" i="24"/>
  <c r="J43" i="24"/>
  <c r="H43" i="24"/>
  <c r="G43" i="24"/>
  <c r="F43" i="24"/>
  <c r="E43" i="24"/>
  <c r="D43" i="24"/>
  <c r="C43" i="24"/>
  <c r="B43" i="24"/>
  <c r="A43" i="24"/>
  <c r="O42" i="24"/>
  <c r="N42" i="24"/>
  <c r="M42" i="24"/>
  <c r="L42" i="24"/>
  <c r="K42" i="24"/>
  <c r="J42" i="24"/>
  <c r="H42" i="24"/>
  <c r="G42" i="24"/>
  <c r="F42" i="24"/>
  <c r="E42" i="24"/>
  <c r="D42" i="24"/>
  <c r="C42" i="24"/>
  <c r="B42" i="24"/>
  <c r="A42" i="24"/>
  <c r="O41" i="24"/>
  <c r="N41" i="24"/>
  <c r="M41" i="24"/>
  <c r="L41" i="24"/>
  <c r="K41" i="24"/>
  <c r="J41" i="24"/>
  <c r="H41" i="24"/>
  <c r="G41" i="24"/>
  <c r="F41" i="24"/>
  <c r="E41" i="24"/>
  <c r="D41" i="24"/>
  <c r="C41" i="24"/>
  <c r="B41" i="24"/>
  <c r="A41" i="24"/>
  <c r="O40" i="24"/>
  <c r="N40" i="24"/>
  <c r="M40" i="24"/>
  <c r="L40" i="24"/>
  <c r="K40" i="24"/>
  <c r="J40" i="24"/>
  <c r="H40" i="24"/>
  <c r="G40" i="24"/>
  <c r="F40" i="24"/>
  <c r="E40" i="24"/>
  <c r="D40" i="24"/>
  <c r="C40" i="24"/>
  <c r="B40" i="24"/>
  <c r="A40" i="24"/>
  <c r="O39" i="24"/>
  <c r="N39" i="24"/>
  <c r="M39" i="24"/>
  <c r="L39" i="24"/>
  <c r="K39" i="24"/>
  <c r="J39" i="24"/>
  <c r="H39" i="24"/>
  <c r="G39" i="24"/>
  <c r="F39" i="24"/>
  <c r="E39" i="24"/>
  <c r="D39" i="24"/>
  <c r="C39" i="24"/>
  <c r="B39" i="24"/>
  <c r="A39" i="24"/>
  <c r="O38" i="24"/>
  <c r="N38" i="24"/>
  <c r="M38" i="24"/>
  <c r="L38" i="24"/>
  <c r="K38" i="24"/>
  <c r="J38" i="24"/>
  <c r="H38" i="24"/>
  <c r="G38" i="24"/>
  <c r="F38" i="24"/>
  <c r="E38" i="24"/>
  <c r="D38" i="24"/>
  <c r="C38" i="24"/>
  <c r="B38" i="24"/>
  <c r="A38" i="24"/>
  <c r="O37" i="24"/>
  <c r="N37" i="24"/>
  <c r="M37" i="24"/>
  <c r="L37" i="24"/>
  <c r="K37" i="24"/>
  <c r="J37" i="24"/>
  <c r="H37" i="24"/>
  <c r="G37" i="24"/>
  <c r="F37" i="24"/>
  <c r="E37" i="24"/>
  <c r="D37" i="24"/>
  <c r="C37" i="24"/>
  <c r="B37" i="24"/>
  <c r="A37" i="24"/>
  <c r="O36" i="24"/>
  <c r="N36" i="24"/>
  <c r="M36" i="24"/>
  <c r="L36" i="24"/>
  <c r="K36" i="24"/>
  <c r="J36" i="24"/>
  <c r="H36" i="24"/>
  <c r="G36" i="24"/>
  <c r="F36" i="24"/>
  <c r="E36" i="24"/>
  <c r="D36" i="24"/>
  <c r="C36" i="24"/>
  <c r="B36" i="24"/>
  <c r="A36" i="24"/>
  <c r="O35" i="24"/>
  <c r="N35" i="24"/>
  <c r="M35" i="24"/>
  <c r="L35" i="24"/>
  <c r="K35" i="24"/>
  <c r="J35" i="24"/>
  <c r="H35" i="24"/>
  <c r="G35" i="24"/>
  <c r="F35" i="24"/>
  <c r="E35" i="24"/>
  <c r="D35" i="24"/>
  <c r="C35" i="24"/>
  <c r="B35" i="24"/>
  <c r="A35" i="24"/>
  <c r="O34" i="24"/>
  <c r="N34" i="24"/>
  <c r="M34" i="24"/>
  <c r="L34" i="24"/>
  <c r="K34" i="24"/>
  <c r="J34" i="24"/>
  <c r="H34" i="24"/>
  <c r="G34" i="24"/>
  <c r="F34" i="24"/>
  <c r="E34" i="24"/>
  <c r="D34" i="24"/>
  <c r="C34" i="24"/>
  <c r="B34" i="24"/>
  <c r="A34" i="24"/>
  <c r="O33" i="24"/>
  <c r="N33" i="24"/>
  <c r="M33" i="24"/>
  <c r="L33" i="24"/>
  <c r="K33" i="24"/>
  <c r="J33" i="24"/>
  <c r="H33" i="24"/>
  <c r="G33" i="24"/>
  <c r="F33" i="24"/>
  <c r="E33" i="24"/>
  <c r="D33" i="24"/>
  <c r="C33" i="24"/>
  <c r="B33" i="24"/>
  <c r="A33" i="24"/>
  <c r="O32" i="24"/>
  <c r="N32" i="24"/>
  <c r="M32" i="24"/>
  <c r="L32" i="24"/>
  <c r="K32" i="24"/>
  <c r="J32" i="24"/>
  <c r="H32" i="24"/>
  <c r="G32" i="24"/>
  <c r="F32" i="24"/>
  <c r="E32" i="24"/>
  <c r="D32" i="24"/>
  <c r="C32" i="24"/>
  <c r="B32" i="24"/>
  <c r="A32" i="24"/>
  <c r="O31" i="24"/>
  <c r="N31" i="24"/>
  <c r="M31" i="24"/>
  <c r="L31" i="24"/>
  <c r="K31" i="24"/>
  <c r="J31" i="24"/>
  <c r="H31" i="24"/>
  <c r="G31" i="24"/>
  <c r="F31" i="24"/>
  <c r="E31" i="24"/>
  <c r="D31" i="24"/>
  <c r="C31" i="24"/>
  <c r="B31" i="24"/>
  <c r="A31" i="24"/>
  <c r="O30" i="24"/>
  <c r="N30" i="24"/>
  <c r="M30" i="24"/>
  <c r="L30" i="24"/>
  <c r="K30" i="24"/>
  <c r="J30" i="24"/>
  <c r="H30" i="24"/>
  <c r="G30" i="24"/>
  <c r="F30" i="24"/>
  <c r="E30" i="24"/>
  <c r="D30" i="24"/>
  <c r="C30" i="24"/>
  <c r="B30" i="24"/>
  <c r="A30" i="24"/>
  <c r="O29" i="24"/>
  <c r="N29" i="24"/>
  <c r="M29" i="24"/>
  <c r="L29" i="24"/>
  <c r="K29" i="24"/>
  <c r="J29" i="24"/>
  <c r="H29" i="24"/>
  <c r="G29" i="24"/>
  <c r="F29" i="24"/>
  <c r="E29" i="24"/>
  <c r="D29" i="24"/>
  <c r="C29" i="24"/>
  <c r="B29" i="24"/>
  <c r="A29" i="24"/>
  <c r="O28" i="24"/>
  <c r="N28" i="24"/>
  <c r="M28" i="24"/>
  <c r="L28" i="24"/>
  <c r="K28" i="24"/>
  <c r="J28" i="24"/>
  <c r="H28" i="24"/>
  <c r="G28" i="24"/>
  <c r="F28" i="24"/>
  <c r="E28" i="24"/>
  <c r="D28" i="24"/>
  <c r="C28" i="24"/>
  <c r="B28" i="24"/>
  <c r="A28" i="24"/>
  <c r="O27" i="24"/>
  <c r="N27" i="24"/>
  <c r="M27" i="24"/>
  <c r="L27" i="24"/>
  <c r="K27" i="24"/>
  <c r="J27" i="24"/>
  <c r="H27" i="24"/>
  <c r="G27" i="24"/>
  <c r="F27" i="24"/>
  <c r="E27" i="24"/>
  <c r="D27" i="24"/>
  <c r="C27" i="24"/>
  <c r="B27" i="24"/>
  <c r="A27" i="24"/>
  <c r="O26" i="24"/>
  <c r="N26" i="24"/>
  <c r="M26" i="24"/>
  <c r="L26" i="24"/>
  <c r="K26" i="24"/>
  <c r="J26" i="24"/>
  <c r="H26" i="24"/>
  <c r="G26" i="24"/>
  <c r="F26" i="24"/>
  <c r="E26" i="24"/>
  <c r="D26" i="24"/>
  <c r="C26" i="24"/>
  <c r="B26" i="24"/>
  <c r="A26" i="24"/>
  <c r="O25" i="24"/>
  <c r="N25" i="24"/>
  <c r="M25" i="24"/>
  <c r="L25" i="24"/>
  <c r="K25" i="24"/>
  <c r="J25" i="24"/>
  <c r="H25" i="24"/>
  <c r="G25" i="24"/>
  <c r="F25" i="24"/>
  <c r="E25" i="24"/>
  <c r="D25" i="24"/>
  <c r="C25" i="24"/>
  <c r="B25" i="24"/>
  <c r="A25" i="24"/>
  <c r="O24" i="24"/>
  <c r="N24" i="24"/>
  <c r="M24" i="24"/>
  <c r="L24" i="24"/>
  <c r="K24" i="24"/>
  <c r="J24" i="24"/>
  <c r="H24" i="24"/>
  <c r="G24" i="24"/>
  <c r="F24" i="24"/>
  <c r="E24" i="24"/>
  <c r="D24" i="24"/>
  <c r="C24" i="24"/>
  <c r="B24" i="24"/>
  <c r="A24" i="24"/>
  <c r="O23" i="24"/>
  <c r="N23" i="24"/>
  <c r="M23" i="24"/>
  <c r="L23" i="24"/>
  <c r="K23" i="24"/>
  <c r="J23" i="24"/>
  <c r="H23" i="24"/>
  <c r="G23" i="24"/>
  <c r="F23" i="24"/>
  <c r="E23" i="24"/>
  <c r="D23" i="24"/>
  <c r="C23" i="24"/>
  <c r="B23" i="24"/>
  <c r="A23" i="24"/>
  <c r="O22" i="24"/>
  <c r="N22" i="24"/>
  <c r="M22" i="24"/>
  <c r="L22" i="24"/>
  <c r="K22" i="24"/>
  <c r="J22" i="24"/>
  <c r="H22" i="24"/>
  <c r="G22" i="24"/>
  <c r="F22" i="24"/>
  <c r="E22" i="24"/>
  <c r="D22" i="24"/>
  <c r="C22" i="24"/>
  <c r="B22" i="24"/>
  <c r="A22" i="24"/>
  <c r="O21" i="24"/>
  <c r="N21" i="24"/>
  <c r="M21" i="24"/>
  <c r="L21" i="24"/>
  <c r="K21" i="24"/>
  <c r="J21" i="24"/>
  <c r="H21" i="24"/>
  <c r="G21" i="24"/>
  <c r="F21" i="24"/>
  <c r="E21" i="24"/>
  <c r="D21" i="24"/>
  <c r="C21" i="24"/>
  <c r="B21" i="24"/>
  <c r="A21" i="24"/>
  <c r="O20" i="24"/>
  <c r="N20" i="24"/>
  <c r="M20" i="24"/>
  <c r="L20" i="24"/>
  <c r="K20" i="24"/>
  <c r="J20" i="24"/>
  <c r="H20" i="24"/>
  <c r="G20" i="24"/>
  <c r="F20" i="24"/>
  <c r="E20" i="24"/>
  <c r="D20" i="24"/>
  <c r="C20" i="24"/>
  <c r="B20" i="24"/>
  <c r="A20" i="24"/>
  <c r="O19" i="24"/>
  <c r="N19" i="24"/>
  <c r="M19" i="24"/>
  <c r="L19" i="24"/>
  <c r="K19" i="24"/>
  <c r="J19" i="24"/>
  <c r="H19" i="24"/>
  <c r="G19" i="24"/>
  <c r="F19" i="24"/>
  <c r="E19" i="24"/>
  <c r="D19" i="24"/>
  <c r="C19" i="24"/>
  <c r="B19" i="24"/>
  <c r="A19" i="24"/>
  <c r="O18" i="24"/>
  <c r="N18" i="24"/>
  <c r="M18" i="24"/>
  <c r="L18" i="24"/>
  <c r="K18" i="24"/>
  <c r="J18" i="24"/>
  <c r="H18" i="24"/>
  <c r="G18" i="24"/>
  <c r="F18" i="24"/>
  <c r="E18" i="24"/>
  <c r="D18" i="24"/>
  <c r="C18" i="24"/>
  <c r="B18" i="24"/>
  <c r="A18" i="24"/>
  <c r="O17" i="24"/>
  <c r="N17" i="24"/>
  <c r="M17" i="24"/>
  <c r="L17" i="24"/>
  <c r="K17" i="24"/>
  <c r="J17" i="24"/>
  <c r="H17" i="24"/>
  <c r="G17" i="24"/>
  <c r="F17" i="24"/>
  <c r="E17" i="24"/>
  <c r="D17" i="24"/>
  <c r="C17" i="24"/>
  <c r="B17" i="24"/>
  <c r="A17" i="24"/>
  <c r="O16" i="24"/>
  <c r="N16" i="24"/>
  <c r="M16" i="24"/>
  <c r="L16" i="24"/>
  <c r="K16" i="24"/>
  <c r="J16" i="24"/>
  <c r="H16" i="24"/>
  <c r="G16" i="24"/>
  <c r="F16" i="24"/>
  <c r="E16" i="24"/>
  <c r="D16" i="24"/>
  <c r="C16" i="24"/>
  <c r="B16" i="24"/>
  <c r="A16" i="24"/>
  <c r="O15" i="24"/>
  <c r="N15" i="24"/>
  <c r="M15" i="24"/>
  <c r="L15" i="24"/>
  <c r="K15" i="24"/>
  <c r="J15" i="24"/>
  <c r="H15" i="24"/>
  <c r="G15" i="24"/>
  <c r="F15" i="24"/>
  <c r="E15" i="24"/>
  <c r="D15" i="24"/>
  <c r="C15" i="24"/>
  <c r="B15" i="24"/>
  <c r="A15" i="24"/>
  <c r="O14" i="24"/>
  <c r="N14" i="24"/>
  <c r="M14" i="24"/>
  <c r="L14" i="24"/>
  <c r="K14" i="24"/>
  <c r="J14" i="24"/>
  <c r="H14" i="24"/>
  <c r="G14" i="24"/>
  <c r="F14" i="24"/>
  <c r="E14" i="24"/>
  <c r="D14" i="24"/>
  <c r="C14" i="24"/>
  <c r="B14" i="24"/>
  <c r="A14" i="24"/>
  <c r="O13" i="24"/>
  <c r="N13" i="24"/>
  <c r="M13" i="24"/>
  <c r="L13" i="24"/>
  <c r="K13" i="24"/>
  <c r="J13" i="24"/>
  <c r="H13" i="24"/>
  <c r="G13" i="24"/>
  <c r="F13" i="24"/>
  <c r="E13" i="24"/>
  <c r="D13" i="24"/>
  <c r="C13" i="24"/>
  <c r="B13" i="24"/>
  <c r="A13" i="24"/>
  <c r="O12" i="24"/>
  <c r="N12" i="24"/>
  <c r="M12" i="24"/>
  <c r="L12" i="24"/>
  <c r="K12" i="24"/>
  <c r="J12" i="24"/>
  <c r="H12" i="24"/>
  <c r="G12" i="24"/>
  <c r="F12" i="24"/>
  <c r="E12" i="24"/>
  <c r="D12" i="24"/>
  <c r="C12" i="24"/>
  <c r="B12" i="24"/>
  <c r="A12" i="24"/>
  <c r="O11" i="24"/>
  <c r="N11" i="24"/>
  <c r="M11" i="24"/>
  <c r="L11" i="24"/>
  <c r="K11" i="24"/>
  <c r="J11" i="24"/>
  <c r="H11" i="24"/>
  <c r="G11" i="24"/>
  <c r="F11" i="24"/>
  <c r="E11" i="24"/>
  <c r="D11" i="24"/>
  <c r="C11" i="24"/>
  <c r="B11" i="24"/>
  <c r="A11" i="24"/>
  <c r="O10" i="24"/>
  <c r="N10" i="24"/>
  <c r="M10" i="24"/>
  <c r="L10" i="24"/>
  <c r="K10" i="24"/>
  <c r="J10" i="24"/>
  <c r="H10" i="24"/>
  <c r="G10" i="24"/>
  <c r="F10" i="24"/>
  <c r="E10" i="24"/>
  <c r="D10" i="24"/>
  <c r="C10" i="24"/>
  <c r="B10" i="24"/>
  <c r="A6" i="24" s="1"/>
  <c r="A10" i="24"/>
  <c r="O9" i="24"/>
  <c r="N9" i="24"/>
  <c r="M9" i="24"/>
  <c r="L9" i="24"/>
  <c r="K9" i="24"/>
  <c r="J9" i="24"/>
  <c r="H9" i="24"/>
  <c r="G9" i="24"/>
  <c r="F9" i="24"/>
  <c r="E9" i="24"/>
  <c r="D9" i="24"/>
  <c r="C9" i="24"/>
  <c r="B9" i="24"/>
  <c r="A9" i="24"/>
  <c r="I6" i="24"/>
  <c r="P74" i="21"/>
  <c r="P70" i="21"/>
  <c r="I71" i="24" s="1"/>
  <c r="P69" i="21"/>
  <c r="I70" i="24" s="1"/>
  <c r="P65" i="21"/>
  <c r="I69" i="24" s="1"/>
  <c r="P64" i="21"/>
  <c r="P61" i="21"/>
  <c r="I68" i="24" s="1"/>
  <c r="P58" i="21"/>
  <c r="I67" i="24" s="1"/>
  <c r="P55" i="21"/>
  <c r="I66" i="24" s="1"/>
  <c r="P52" i="21"/>
  <c r="I65" i="24" s="1"/>
  <c r="P49" i="21"/>
  <c r="I64" i="24" s="1"/>
  <c r="P46" i="21"/>
  <c r="I63" i="24" s="1"/>
  <c r="P43" i="21"/>
  <c r="I62" i="24" s="1"/>
  <c r="P40" i="21"/>
  <c r="I61" i="24" s="1"/>
  <c r="P37" i="21"/>
  <c r="I60" i="24" s="1"/>
  <c r="P34" i="21"/>
  <c r="I59" i="24" s="1"/>
  <c r="P31" i="21"/>
  <c r="I58" i="24" s="1"/>
  <c r="P28" i="21"/>
  <c r="I57" i="24" s="1"/>
  <c r="P25" i="21"/>
  <c r="I56" i="24" s="1"/>
  <c r="P22" i="21"/>
  <c r="I55" i="24" s="1"/>
  <c r="P19" i="21"/>
  <c r="I54" i="24" s="1"/>
  <c r="P16" i="21"/>
  <c r="I53" i="24" s="1"/>
  <c r="P13" i="21"/>
  <c r="I52" i="24" s="1"/>
  <c r="P12" i="21"/>
  <c r="P8" i="21"/>
  <c r="I51" i="24" s="1"/>
  <c r="P7" i="21"/>
  <c r="I50" i="24" s="1"/>
  <c r="P6" i="21"/>
  <c r="I49" i="24" s="1"/>
  <c r="P5" i="21"/>
  <c r="I48" i="24" s="1"/>
  <c r="P4" i="21"/>
  <c r="I47" i="24" s="1"/>
  <c r="P3" i="21"/>
  <c r="P32" i="14"/>
  <c r="I46" i="24" s="1"/>
  <c r="P31" i="14"/>
  <c r="I45" i="24" s="1"/>
  <c r="P28" i="14"/>
  <c r="I44" i="24" s="1"/>
  <c r="P27" i="14"/>
  <c r="I43" i="24" s="1"/>
  <c r="P26" i="14"/>
  <c r="I42" i="24" s="1"/>
  <c r="P25" i="14"/>
  <c r="I41" i="24" s="1"/>
  <c r="P24" i="14"/>
  <c r="I40" i="24" s="1"/>
  <c r="P23" i="14"/>
  <c r="I39" i="24" s="1"/>
  <c r="P22" i="14"/>
  <c r="I38" i="24" s="1"/>
  <c r="P21" i="14"/>
  <c r="I37" i="24" s="1"/>
  <c r="P20" i="14"/>
  <c r="I36" i="24" s="1"/>
  <c r="P19" i="14"/>
  <c r="P16" i="14"/>
  <c r="I35" i="24" s="1"/>
  <c r="P15" i="14"/>
  <c r="P12" i="14"/>
  <c r="I34" i="24" s="1"/>
  <c r="P11" i="14"/>
  <c r="P8" i="14"/>
  <c r="I33" i="24" s="1"/>
  <c r="P7" i="14"/>
  <c r="P4" i="14"/>
  <c r="I32" i="24" s="1"/>
  <c r="P3" i="14"/>
  <c r="P45" i="8"/>
  <c r="I31" i="24" s="1"/>
  <c r="P44" i="8"/>
  <c r="I30" i="24" s="1"/>
  <c r="P43" i="8"/>
  <c r="I29" i="24" s="1"/>
  <c r="P42" i="8"/>
  <c r="I28" i="24" s="1"/>
  <c r="P39" i="8"/>
  <c r="I27" i="24" s="1"/>
  <c r="P36" i="8"/>
  <c r="I26" i="24" s="1"/>
  <c r="P35" i="8"/>
  <c r="I25" i="24" s="1"/>
  <c r="P34" i="8"/>
  <c r="I24" i="24" s="1"/>
  <c r="P33" i="8"/>
  <c r="I23" i="24" s="1"/>
  <c r="P32" i="8"/>
  <c r="P22" i="8"/>
  <c r="I22" i="24" s="1"/>
  <c r="P21" i="8"/>
  <c r="P18" i="8"/>
  <c r="I21" i="24" s="1"/>
  <c r="P17" i="8"/>
  <c r="P14" i="8"/>
  <c r="I20" i="24" s="1"/>
  <c r="P10" i="8"/>
  <c r="I19" i="24" s="1"/>
  <c r="P9" i="8"/>
  <c r="I18" i="24" s="1"/>
  <c r="P8" i="8"/>
  <c r="I17" i="24" s="1"/>
  <c r="P7" i="8"/>
  <c r="P4" i="8"/>
  <c r="I16" i="24" s="1"/>
  <c r="P3" i="8"/>
  <c r="P23" i="6"/>
  <c r="I15" i="24" s="1"/>
  <c r="P22" i="6"/>
  <c r="P21" i="6"/>
  <c r="I14" i="24" s="1"/>
  <c r="P18" i="6"/>
  <c r="I13" i="24" s="1"/>
  <c r="P15" i="6"/>
  <c r="I12" i="24" s="1"/>
  <c r="P12" i="6"/>
  <c r="I11" i="24" s="1"/>
  <c r="P8" i="6"/>
  <c r="I10" i="24" s="1"/>
  <c r="P7" i="6"/>
  <c r="P4" i="6"/>
  <c r="I9" i="24" s="1"/>
  <c r="P3" i="6"/>
  <c r="G6" i="24" l="1"/>
  <c r="E6" i="24"/>
  <c r="C6" i="24"/>
</calcChain>
</file>

<file path=xl/sharedStrings.xml><?xml version="1.0" encoding="utf-8"?>
<sst xmlns="http://schemas.openxmlformats.org/spreadsheetml/2006/main" count="3456" uniqueCount="1153">
  <si>
    <t>Metric and indicator reference</t>
  </si>
  <si>
    <t>Metric / Indicator</t>
  </si>
  <si>
    <t>Question format</t>
  </si>
  <si>
    <t>Evidence Required</t>
  </si>
  <si>
    <t>Policy dates required</t>
  </si>
  <si>
    <r>
      <t xml:space="preserve">SDG17: PARTNERSHIP FOR THE GOALS                                    </t>
    </r>
    <r>
      <rPr>
        <sz val="18"/>
        <rFont val="Calibri"/>
        <family val="2"/>
        <scheme val="minor"/>
      </rPr>
      <t>(Mandatory for inclusion in overall Impact Rankings)</t>
    </r>
  </si>
  <si>
    <t>Relationships to support the goals</t>
  </si>
  <si>
    <t>17.2.1</t>
  </si>
  <si>
    <r>
      <rPr>
        <b/>
        <sz val="11"/>
        <rFont val="Calibri"/>
        <family val="2"/>
        <scheme val="minor"/>
      </rPr>
      <t>Relationships with regional NGOs and government for SDG policy</t>
    </r>
    <r>
      <rPr>
        <sz val="11"/>
        <rFont val="Calibri"/>
        <family val="2"/>
        <scheme val="minor"/>
      </rPr>
      <t xml:space="preserve">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r>
  </si>
  <si>
    <t>YES/NO</t>
  </si>
  <si>
    <t>YES</t>
  </si>
  <si>
    <t>NO</t>
  </si>
  <si>
    <t>17.2.2</t>
  </si>
  <si>
    <r>
      <rPr>
        <b/>
        <sz val="11"/>
        <rFont val="Calibri"/>
        <family val="2"/>
        <scheme val="minor"/>
      </rPr>
      <t>Cross sectoral dialogue about SDGs</t>
    </r>
    <r>
      <rPr>
        <sz val="11"/>
        <rFont val="Calibri"/>
        <family val="2"/>
        <scheme val="minor"/>
      </rPr>
      <t xml:space="preserve">
Initiate and participate in cross-sectoral dialogue about the SDGs, e.g. conferences involving government or NGOs</t>
    </r>
  </si>
  <si>
    <t>17.2.3</t>
  </si>
  <si>
    <r>
      <rPr>
        <b/>
        <sz val="11"/>
        <rFont val="Calibri"/>
        <family val="2"/>
        <scheme val="minor"/>
      </rPr>
      <t>International collaboration data gathering for SDG</t>
    </r>
    <r>
      <rPr>
        <sz val="11"/>
        <rFont val="Calibri"/>
        <family val="2"/>
        <scheme val="minor"/>
      </rPr>
      <t xml:space="preserve">
Participate in international collaboration on gathering or measuring data for the SDGs</t>
    </r>
  </si>
  <si>
    <t>17.2.4</t>
  </si>
  <si>
    <r>
      <rPr>
        <b/>
        <sz val="11"/>
        <rFont val="Calibri"/>
        <family val="2"/>
        <scheme val="minor"/>
      </rPr>
      <t>Collaboration for SDG best practice</t>
    </r>
    <r>
      <rPr>
        <sz val="11"/>
        <rFont val="Calibri"/>
        <family val="2"/>
        <scheme val="minor"/>
      </rPr>
      <t xml:space="preserve">
Through international collaboration and research, review comparative approaches and develop international best practice on tackling the SDGs</t>
    </r>
  </si>
  <si>
    <t>17.2.5</t>
  </si>
  <si>
    <r>
      <rPr>
        <b/>
        <sz val="11"/>
        <rFont val="Calibri"/>
        <family val="2"/>
        <scheme val="minor"/>
      </rPr>
      <t>Collaboration with NGOs for SDGs</t>
    </r>
    <r>
      <rPr>
        <sz val="11"/>
        <rFont val="Calibri"/>
        <family val="2"/>
        <scheme val="minor"/>
      </rPr>
      <t xml:space="preserve">
Collaborate with NGOs to tackle the SDGs through: student volunteering programmes, research programmes, or development of educational resources
     •student volunteering programmes 
     •research programmes
     •development of educational resources
     </t>
    </r>
  </si>
  <si>
    <t>Picklist</t>
  </si>
  <si>
    <t xml:space="preserve">Publication of SDG reports </t>
  </si>
  <si>
    <t xml:space="preserve">17.3.1 </t>
  </si>
  <si>
    <r>
      <rPr>
        <b/>
        <sz val="11"/>
        <rFont val="Calibri"/>
        <family val="2"/>
        <scheme val="minor"/>
      </rPr>
      <t>Publication of SDG reports - per SDG</t>
    </r>
    <r>
      <rPr>
        <sz val="11"/>
        <rFont val="Calibri"/>
        <family val="2"/>
        <scheme val="minor"/>
      </rPr>
      <t xml:space="preserve">
Publish progress against  SDG1, either individually or within an annual report
</t>
    </r>
    <r>
      <rPr>
        <sz val="11"/>
        <rFont val="Calibri"/>
        <family val="2"/>
      </rPr>
      <t>●</t>
    </r>
    <r>
      <rPr>
        <sz val="11"/>
        <rFont val="Calibri"/>
        <family val="2"/>
        <scheme val="minor"/>
      </rPr>
      <t>overall report
●separate report</t>
    </r>
  </si>
  <si>
    <t>17.3.2</t>
  </si>
  <si>
    <r>
      <rPr>
        <b/>
        <sz val="11"/>
        <rFont val="Calibri"/>
        <family val="2"/>
        <scheme val="minor"/>
      </rPr>
      <t>Publication of SDG reports - per SDG</t>
    </r>
    <r>
      <rPr>
        <sz val="11"/>
        <rFont val="Calibri"/>
        <family val="2"/>
        <scheme val="minor"/>
      </rPr>
      <t xml:space="preserve">
Publish progress against  SDG2, either individually or within an annual report
</t>
    </r>
    <r>
      <rPr>
        <sz val="11"/>
        <rFont val="Calibri"/>
        <family val="2"/>
      </rPr>
      <t>●</t>
    </r>
    <r>
      <rPr>
        <sz val="11"/>
        <rFont val="Calibri"/>
        <family val="2"/>
        <scheme val="minor"/>
      </rPr>
      <t>overall report
●separate report</t>
    </r>
  </si>
  <si>
    <t>17.3.3</t>
  </si>
  <si>
    <r>
      <rPr>
        <b/>
        <sz val="11"/>
        <rFont val="Calibri"/>
        <family val="2"/>
        <scheme val="minor"/>
      </rPr>
      <t>Publication of SDG reports - per SDG</t>
    </r>
    <r>
      <rPr>
        <sz val="11"/>
        <rFont val="Calibri"/>
        <family val="2"/>
        <scheme val="minor"/>
      </rPr>
      <t xml:space="preserve">
Publish progress against  SDG3, either individually or within an annual report
</t>
    </r>
    <r>
      <rPr>
        <sz val="11"/>
        <rFont val="Calibri"/>
        <family val="2"/>
      </rPr>
      <t>●</t>
    </r>
    <r>
      <rPr>
        <sz val="11"/>
        <rFont val="Calibri"/>
        <family val="2"/>
        <scheme val="minor"/>
      </rPr>
      <t>overall report
●separate report</t>
    </r>
  </si>
  <si>
    <t>17.3.4</t>
  </si>
  <si>
    <r>
      <rPr>
        <b/>
        <sz val="11"/>
        <rFont val="Calibri"/>
        <family val="2"/>
        <scheme val="minor"/>
      </rPr>
      <t>Publication of SDG reports - per SDG</t>
    </r>
    <r>
      <rPr>
        <sz val="11"/>
        <rFont val="Calibri"/>
        <family val="2"/>
        <scheme val="minor"/>
      </rPr>
      <t xml:space="preserve">
Publish progress against  SDG4, either individually or within an annual report
</t>
    </r>
    <r>
      <rPr>
        <sz val="11"/>
        <rFont val="Calibri"/>
        <family val="2"/>
      </rPr>
      <t>●</t>
    </r>
    <r>
      <rPr>
        <sz val="11"/>
        <rFont val="Calibri"/>
        <family val="2"/>
        <scheme val="minor"/>
      </rPr>
      <t>overall report
●separate report</t>
    </r>
  </si>
  <si>
    <t>17.3.5</t>
  </si>
  <si>
    <r>
      <rPr>
        <b/>
        <sz val="11"/>
        <rFont val="Calibri"/>
        <family val="2"/>
        <scheme val="minor"/>
      </rPr>
      <t>Publication of SDG reports - per SDG</t>
    </r>
    <r>
      <rPr>
        <sz val="11"/>
        <rFont val="Calibri"/>
        <family val="2"/>
        <scheme val="minor"/>
      </rPr>
      <t xml:space="preserve">
Publish progress against  SDG5, either individually or within an annual report
</t>
    </r>
    <r>
      <rPr>
        <sz val="11"/>
        <rFont val="Calibri"/>
        <family val="2"/>
      </rPr>
      <t>●</t>
    </r>
    <r>
      <rPr>
        <sz val="11"/>
        <rFont val="Calibri"/>
        <family val="2"/>
        <scheme val="minor"/>
      </rPr>
      <t>overall report
●separate report</t>
    </r>
  </si>
  <si>
    <t>17.3.6</t>
  </si>
  <si>
    <r>
      <rPr>
        <b/>
        <sz val="11"/>
        <rFont val="Calibri"/>
        <family val="2"/>
        <scheme val="minor"/>
      </rPr>
      <t>Publication of SDG reports - per SDG</t>
    </r>
    <r>
      <rPr>
        <sz val="11"/>
        <rFont val="Calibri"/>
        <family val="2"/>
        <scheme val="minor"/>
      </rPr>
      <t xml:space="preserve">
Publish progress against  SDG6, either individually or within an annual report
</t>
    </r>
    <r>
      <rPr>
        <sz val="11"/>
        <rFont val="Calibri"/>
        <family val="2"/>
      </rPr>
      <t>●</t>
    </r>
    <r>
      <rPr>
        <sz val="11"/>
        <rFont val="Calibri"/>
        <family val="2"/>
        <scheme val="minor"/>
      </rPr>
      <t>overall report
●separate report</t>
    </r>
  </si>
  <si>
    <t>17.3.7</t>
  </si>
  <si>
    <r>
      <rPr>
        <b/>
        <sz val="11"/>
        <rFont val="Calibri"/>
        <family val="2"/>
        <scheme val="minor"/>
      </rPr>
      <t>Publication of SDG reports - per SDG</t>
    </r>
    <r>
      <rPr>
        <sz val="11"/>
        <rFont val="Calibri"/>
        <family val="2"/>
        <scheme val="minor"/>
      </rPr>
      <t xml:space="preserve">
Publish progress against  SDG7, either individually or within an annual report
</t>
    </r>
    <r>
      <rPr>
        <sz val="11"/>
        <rFont val="Calibri"/>
        <family val="2"/>
      </rPr>
      <t>●</t>
    </r>
    <r>
      <rPr>
        <sz val="11"/>
        <rFont val="Calibri"/>
        <family val="2"/>
        <scheme val="minor"/>
      </rPr>
      <t>overall report
●separate report</t>
    </r>
  </si>
  <si>
    <t>17.3.8</t>
  </si>
  <si>
    <r>
      <rPr>
        <b/>
        <sz val="11"/>
        <rFont val="Calibri"/>
        <family val="2"/>
        <scheme val="minor"/>
      </rPr>
      <t>Publication of SDG reports - per SDG</t>
    </r>
    <r>
      <rPr>
        <sz val="11"/>
        <rFont val="Calibri"/>
        <family val="2"/>
        <scheme val="minor"/>
      </rPr>
      <t xml:space="preserve">
Publish progress against  SDG8, either individually or within an annual report
</t>
    </r>
    <r>
      <rPr>
        <sz val="11"/>
        <rFont val="Calibri"/>
        <family val="2"/>
      </rPr>
      <t>●</t>
    </r>
    <r>
      <rPr>
        <sz val="11"/>
        <rFont val="Calibri"/>
        <family val="2"/>
        <scheme val="minor"/>
      </rPr>
      <t>overall report
●separate report</t>
    </r>
  </si>
  <si>
    <t>17.3.9</t>
  </si>
  <si>
    <r>
      <rPr>
        <b/>
        <sz val="11"/>
        <rFont val="Calibri"/>
        <family val="2"/>
        <scheme val="minor"/>
      </rPr>
      <t>Publication of SDG reports - per SDG</t>
    </r>
    <r>
      <rPr>
        <sz val="11"/>
        <rFont val="Calibri"/>
        <family val="2"/>
        <scheme val="minor"/>
      </rPr>
      <t xml:space="preserve">
Publish progress against  SDG9, either individually or within an annual report
</t>
    </r>
    <r>
      <rPr>
        <sz val="11"/>
        <rFont val="Calibri"/>
        <family val="2"/>
      </rPr>
      <t>●</t>
    </r>
    <r>
      <rPr>
        <sz val="11"/>
        <rFont val="Calibri"/>
        <family val="2"/>
        <scheme val="minor"/>
      </rPr>
      <t>overall report
●separate report</t>
    </r>
  </si>
  <si>
    <t>17.3.10</t>
  </si>
  <si>
    <r>
      <rPr>
        <b/>
        <sz val="11"/>
        <rFont val="Calibri"/>
        <family val="2"/>
        <scheme val="minor"/>
      </rPr>
      <t>Publication of SDG reports - per SDG</t>
    </r>
    <r>
      <rPr>
        <sz val="11"/>
        <rFont val="Calibri"/>
        <family val="2"/>
        <scheme val="minor"/>
      </rPr>
      <t xml:space="preserve">
Publish progress against  SDG10, either individually or within an annual report
</t>
    </r>
    <r>
      <rPr>
        <sz val="11"/>
        <rFont val="Calibri"/>
        <family val="2"/>
      </rPr>
      <t>●</t>
    </r>
    <r>
      <rPr>
        <sz val="11"/>
        <rFont val="Calibri"/>
        <family val="2"/>
        <scheme val="minor"/>
      </rPr>
      <t>overall report
●separate report</t>
    </r>
  </si>
  <si>
    <t>17.3.11</t>
  </si>
  <si>
    <r>
      <rPr>
        <b/>
        <sz val="11"/>
        <rFont val="Calibri"/>
        <family val="2"/>
        <scheme val="minor"/>
      </rPr>
      <t>Publication of SDG reports - per SDG</t>
    </r>
    <r>
      <rPr>
        <sz val="11"/>
        <rFont val="Calibri"/>
        <family val="2"/>
        <scheme val="minor"/>
      </rPr>
      <t xml:space="preserve">
Publish progress against  SDG11, either individually or within an annual report
</t>
    </r>
    <r>
      <rPr>
        <sz val="11"/>
        <rFont val="Calibri"/>
        <family val="2"/>
      </rPr>
      <t>●</t>
    </r>
    <r>
      <rPr>
        <sz val="11"/>
        <rFont val="Calibri"/>
        <family val="2"/>
        <scheme val="minor"/>
      </rPr>
      <t>overall report
●separate report</t>
    </r>
  </si>
  <si>
    <t>17.3.12</t>
  </si>
  <si>
    <r>
      <rPr>
        <b/>
        <sz val="11"/>
        <rFont val="Calibri"/>
        <family val="2"/>
        <scheme val="minor"/>
      </rPr>
      <t>Publication of SDG reports - per SDG</t>
    </r>
    <r>
      <rPr>
        <sz val="11"/>
        <rFont val="Calibri"/>
        <family val="2"/>
        <scheme val="minor"/>
      </rPr>
      <t xml:space="preserve">
Publish progress against  SDG12, either individually or within an annual report
</t>
    </r>
    <r>
      <rPr>
        <sz val="11"/>
        <rFont val="Calibri"/>
        <family val="2"/>
      </rPr>
      <t>●</t>
    </r>
    <r>
      <rPr>
        <sz val="11"/>
        <rFont val="Calibri"/>
        <family val="2"/>
        <scheme val="minor"/>
      </rPr>
      <t>overall report
●separate report</t>
    </r>
  </si>
  <si>
    <t>17.3.13</t>
  </si>
  <si>
    <r>
      <rPr>
        <b/>
        <sz val="11"/>
        <rFont val="Calibri"/>
        <family val="2"/>
        <scheme val="minor"/>
      </rPr>
      <t>Publication of SDG reports - per SDG</t>
    </r>
    <r>
      <rPr>
        <sz val="11"/>
        <rFont val="Calibri"/>
        <family val="2"/>
        <scheme val="minor"/>
      </rPr>
      <t xml:space="preserve">
Publish progress against  SDG13, either individually or within an annual report
</t>
    </r>
    <r>
      <rPr>
        <sz val="11"/>
        <rFont val="Calibri"/>
        <family val="2"/>
      </rPr>
      <t>●</t>
    </r>
    <r>
      <rPr>
        <sz val="11"/>
        <rFont val="Calibri"/>
        <family val="2"/>
        <scheme val="minor"/>
      </rPr>
      <t>overall report
●separate report</t>
    </r>
  </si>
  <si>
    <t>17.3.14</t>
  </si>
  <si>
    <r>
      <rPr>
        <b/>
        <sz val="11"/>
        <rFont val="Calibri"/>
        <family val="2"/>
        <scheme val="minor"/>
      </rPr>
      <t>Publication of SDG reports - per SDG</t>
    </r>
    <r>
      <rPr>
        <sz val="11"/>
        <rFont val="Calibri"/>
        <family val="2"/>
        <scheme val="minor"/>
      </rPr>
      <t xml:space="preserve">
Publish progress against  SDG14, either individually or within an annual report
</t>
    </r>
    <r>
      <rPr>
        <sz val="11"/>
        <rFont val="Calibri"/>
        <family val="2"/>
      </rPr>
      <t>●</t>
    </r>
    <r>
      <rPr>
        <sz val="11"/>
        <rFont val="Calibri"/>
        <family val="2"/>
        <scheme val="minor"/>
      </rPr>
      <t>overall report
●separate report</t>
    </r>
  </si>
  <si>
    <t>17.3.15</t>
  </si>
  <si>
    <r>
      <rPr>
        <b/>
        <sz val="11"/>
        <rFont val="Calibri"/>
        <family val="2"/>
        <scheme val="minor"/>
      </rPr>
      <t>Publication of SDG reports - per SDG</t>
    </r>
    <r>
      <rPr>
        <sz val="11"/>
        <rFont val="Calibri"/>
        <family val="2"/>
        <scheme val="minor"/>
      </rPr>
      <t xml:space="preserve">
Publish progress against  SDG15, either individually or within an annual report
</t>
    </r>
    <r>
      <rPr>
        <sz val="11"/>
        <rFont val="Calibri"/>
        <family val="2"/>
      </rPr>
      <t>●</t>
    </r>
    <r>
      <rPr>
        <sz val="11"/>
        <rFont val="Calibri"/>
        <family val="2"/>
        <scheme val="minor"/>
      </rPr>
      <t>overall report
●separate report</t>
    </r>
  </si>
  <si>
    <t>17.3.16</t>
  </si>
  <si>
    <r>
      <rPr>
        <b/>
        <sz val="11"/>
        <rFont val="Calibri"/>
        <family val="2"/>
        <scheme val="minor"/>
      </rPr>
      <t>Publication of SDG reports - per SDG</t>
    </r>
    <r>
      <rPr>
        <sz val="11"/>
        <rFont val="Calibri"/>
        <family val="2"/>
        <scheme val="minor"/>
      </rPr>
      <t xml:space="preserve">
Publish progress against  SDG16, either individually or within an annual report
</t>
    </r>
    <r>
      <rPr>
        <sz val="11"/>
        <rFont val="Calibri"/>
        <family val="2"/>
      </rPr>
      <t>●</t>
    </r>
    <r>
      <rPr>
        <sz val="11"/>
        <rFont val="Calibri"/>
        <family val="2"/>
        <scheme val="minor"/>
      </rPr>
      <t>overall report
●separate report</t>
    </r>
  </si>
  <si>
    <t>17.3.17</t>
  </si>
  <si>
    <r>
      <rPr>
        <b/>
        <sz val="11"/>
        <rFont val="Calibri"/>
        <family val="2"/>
        <scheme val="minor"/>
      </rPr>
      <t xml:space="preserve">Publication of SDG reports - per SDG
</t>
    </r>
    <r>
      <rPr>
        <sz val="11"/>
        <rFont val="Calibri"/>
        <family val="2"/>
        <scheme val="minor"/>
      </rPr>
      <t xml:space="preserve">Publish progress against  SDG17, either individually or within an annual report
</t>
    </r>
    <r>
      <rPr>
        <sz val="11"/>
        <rFont val="Calibri"/>
        <family val="2"/>
      </rPr>
      <t>●</t>
    </r>
    <r>
      <rPr>
        <sz val="11"/>
        <rFont val="Calibri"/>
        <family val="2"/>
        <scheme val="minor"/>
      </rPr>
      <t>overall report
●separate report</t>
    </r>
  </si>
  <si>
    <t>Education for the SDGs</t>
  </si>
  <si>
    <t>17.4.1</t>
  </si>
  <si>
    <r>
      <t xml:space="preserve">Education for SDGs commitment to meaningful education
</t>
    </r>
    <r>
      <rPr>
        <sz val="11"/>
        <rFont val="Calibri"/>
        <family val="2"/>
        <scheme val="minor"/>
      </rPr>
      <t>Have a commitment to meaningful education around the SDGs across the university, relevant and applicable to all students
•	Education integrated across full curriculum
•	Mandatory education for all
•Optional education for all</t>
    </r>
  </si>
  <si>
    <t>17.4.2</t>
  </si>
  <si>
    <r>
      <t xml:space="preserve">Education for SDGs specific courses on sustainability
</t>
    </r>
    <r>
      <rPr>
        <sz val="11"/>
        <rFont val="Calibri"/>
        <family val="2"/>
        <scheme val="minor"/>
      </rPr>
      <t xml:space="preserve">Have dedicated courses (full degrees, or electives) that address sustainability and the SDGs.
</t>
    </r>
  </si>
  <si>
    <t>17.4.3</t>
  </si>
  <si>
    <r>
      <t xml:space="preserve">Education for SDGs in the wider community
</t>
    </r>
    <r>
      <rPr>
        <sz val="11"/>
        <rFont val="Calibri"/>
        <family val="2"/>
        <scheme val="minor"/>
      </rPr>
      <t>Have dedicated outreach educational activities for the wider community
•	Alumni
•	Local community
•Displaced people and refugees</t>
    </r>
  </si>
  <si>
    <t>17.4.4</t>
  </si>
  <si>
    <r>
      <rPr>
        <b/>
        <sz val="11"/>
        <color rgb="FF000000"/>
        <rFont val="Calibri"/>
        <family val="2"/>
        <scheme val="minor"/>
      </rPr>
      <t xml:space="preserve">Sustainable Literacy
</t>
    </r>
    <r>
      <rPr>
        <sz val="11"/>
        <color rgb="FF000000"/>
        <rFont val="Calibri"/>
        <family val="2"/>
        <scheme val="minor"/>
      </rPr>
      <t>This question explores how you evaluate your students’ ability to learn and retain key concepts of sustainability. For 2025 we will not score this question but will use it to inform our decisions for 2026.
Measure the sustainability literacy of students.</t>
    </r>
  </si>
  <si>
    <t xml:space="preserve">SDG1: NO POVERTY </t>
  </si>
  <si>
    <t>Proportion of students receiving financial aid to attend university because of poverty</t>
  </si>
  <si>
    <t>1.2.1</t>
  </si>
  <si>
    <t>Low income students receiving financial aid</t>
  </si>
  <si>
    <t>Number of students</t>
  </si>
  <si>
    <t>Continuous</t>
  </si>
  <si>
    <t>Number of low income students receiving financial aid</t>
  </si>
  <si>
    <t>University anti-poverty programmes</t>
  </si>
  <si>
    <t>1.3.1</t>
  </si>
  <si>
    <r>
      <t xml:space="preserve">Bottom financial quintile admission target
</t>
    </r>
    <r>
      <rPr>
        <sz val="11"/>
        <rFont val="Calibri"/>
        <family val="2"/>
        <scheme val="minor"/>
      </rPr>
      <t>Targets to admit students who fall into the bottom 20% of household income group (or a more tightly defined target) in the country.</t>
    </r>
  </si>
  <si>
    <t>1.3.2</t>
  </si>
  <si>
    <r>
      <t xml:space="preserve">Bottom financial quintile student success
</t>
    </r>
    <r>
      <rPr>
        <sz val="11"/>
        <rFont val="Calibri"/>
        <family val="2"/>
        <scheme val="minor"/>
      </rPr>
      <t>Graduation/completion targets for students who fall into the bottom 20% of household income group (or a more tightly defined target) in the country.</t>
    </r>
  </si>
  <si>
    <t>1.3.3</t>
  </si>
  <si>
    <r>
      <rPr>
        <b/>
        <sz val="11"/>
        <rFont val="Calibri"/>
        <family val="2"/>
        <scheme val="minor"/>
      </rPr>
      <t>Low-income student support</t>
    </r>
    <r>
      <rPr>
        <sz val="11"/>
        <rFont val="Calibri"/>
        <family val="2"/>
        <scheme val="minor"/>
      </rPr>
      <t xml:space="preserve">
Provide support (e.g. food, housing, transportation, legal services) for students from low income families to enable them to complete university.
     •Free 
     •Subsidised
     </t>
    </r>
  </si>
  <si>
    <t>1.3.4</t>
  </si>
  <si>
    <r>
      <rPr>
        <b/>
        <sz val="11"/>
        <rFont val="Calibri"/>
        <family val="2"/>
        <scheme val="minor"/>
      </rPr>
      <t>Bottom financial quintile student support</t>
    </r>
    <r>
      <rPr>
        <sz val="11"/>
        <rFont val="Calibri"/>
        <family val="2"/>
        <scheme val="minor"/>
      </rPr>
      <t xml:space="preserve">
Programmes or initiatives to assist students who fall into the bottom 20% of household income group (or a more tightly defined target) in the country to successfully complete their studies.</t>
    </r>
  </si>
  <si>
    <t>1.3.5</t>
  </si>
  <si>
    <r>
      <rPr>
        <b/>
        <sz val="11"/>
        <rFont val="Calibri"/>
        <family val="2"/>
        <scheme val="minor"/>
      </rPr>
      <t>Low or lower-middle income countries student support</t>
    </r>
    <r>
      <rPr>
        <sz val="11"/>
        <rFont val="Calibri"/>
        <family val="2"/>
        <scheme val="minor"/>
      </rPr>
      <t xml:space="preserve">
Schemes to support poor students from low or lower-middle income countries (e.g. offering free education, grants).</t>
    </r>
  </si>
  <si>
    <t>Community anti-poverty programmes</t>
  </si>
  <si>
    <t>1.4.1</t>
  </si>
  <si>
    <r>
      <rPr>
        <b/>
        <sz val="11"/>
        <rFont val="Calibri"/>
        <family val="2"/>
        <scheme val="minor"/>
      </rPr>
      <t>Local start-up assistance</t>
    </r>
    <r>
      <rPr>
        <sz val="11"/>
        <rFont val="Calibri"/>
        <family val="2"/>
        <scheme val="minor"/>
      </rPr>
      <t xml:space="preserve">
Provide assistance in the local community supporting the start-up of financially and socially sustainable businesses through relevant education or resources (e.g. mentorship programmes, training workshops, access to university facilities).
     •Free
     •Paid
     </t>
    </r>
  </si>
  <si>
    <t>1.4.2</t>
  </si>
  <si>
    <r>
      <rPr>
        <b/>
        <sz val="11"/>
        <rFont val="Calibri"/>
        <family val="2"/>
        <scheme val="minor"/>
      </rPr>
      <t>Local start-up financial assistance</t>
    </r>
    <r>
      <rPr>
        <sz val="11"/>
        <rFont val="Calibri"/>
        <family val="2"/>
        <scheme val="minor"/>
      </rPr>
      <t xml:space="preserve">
Provide financial assistance to the local community supporting the start-up of  financially and socially sustainable businesses.</t>
    </r>
  </si>
  <si>
    <t>1.4.3</t>
  </si>
  <si>
    <r>
      <rPr>
        <b/>
        <sz val="11"/>
        <rFont val="Calibri"/>
        <family val="2"/>
        <scheme val="minor"/>
      </rPr>
      <t>Programmes for services access</t>
    </r>
    <r>
      <rPr>
        <sz val="11"/>
        <rFont val="Calibri"/>
        <family val="2"/>
        <scheme val="minor"/>
      </rPr>
      <t xml:space="preserve">
Organise training or programmes to improve access to basic services for all.
     •Directly
     •Indirectly
     </t>
    </r>
  </si>
  <si>
    <t>1.4.4</t>
  </si>
  <si>
    <r>
      <rPr>
        <b/>
        <sz val="11"/>
        <rFont val="Calibri"/>
        <family val="2"/>
        <scheme val="minor"/>
      </rPr>
      <t>Policy addressing poverty</t>
    </r>
    <r>
      <rPr>
        <sz val="11"/>
        <rFont val="Calibri"/>
        <family val="2"/>
        <scheme val="minor"/>
      </rPr>
      <t xml:space="preserve">
Participate in policy making at local, regional, national and/or global level to implement programmes and policies to end poverty in all its dimensions.
     •Local 
     •Regional 
     •National 
     •Global
     </t>
    </r>
  </si>
  <si>
    <t xml:space="preserve">SDG2: ZERO HUNGER </t>
  </si>
  <si>
    <t>Campus food waste</t>
  </si>
  <si>
    <t>2.2.1</t>
  </si>
  <si>
    <r>
      <rPr>
        <b/>
        <sz val="11"/>
        <rFont val="Calibri"/>
        <family val="2"/>
        <scheme val="minor"/>
      </rPr>
      <t xml:space="preserve">Campus food waste tracking </t>
    </r>
    <r>
      <rPr>
        <sz val="11"/>
        <rFont val="Calibri"/>
        <family val="2"/>
        <scheme val="minor"/>
      </rPr>
      <t xml:space="preserve">
Measure the amount of food waste generated from food served within the university. 
• Whole University
• Partial measurement</t>
    </r>
  </si>
  <si>
    <t>2.2.2</t>
  </si>
  <si>
    <t>Total food waste</t>
  </si>
  <si>
    <t>Campus population</t>
  </si>
  <si>
    <t>Student hunger</t>
  </si>
  <si>
    <t>2.3.1</t>
  </si>
  <si>
    <r>
      <rPr>
        <b/>
        <sz val="11"/>
        <rFont val="Calibri"/>
        <family val="2"/>
        <scheme val="minor"/>
      </rPr>
      <t xml:space="preserve">Student food insecurity and hunger </t>
    </r>
    <r>
      <rPr>
        <sz val="11"/>
        <rFont val="Calibri"/>
        <family val="2"/>
        <scheme val="minor"/>
      </rPr>
      <t xml:space="preserve">
Have a programme in place on student food insecurity.</t>
    </r>
  </si>
  <si>
    <t>2.3.2</t>
  </si>
  <si>
    <r>
      <rPr>
        <b/>
        <sz val="11"/>
        <color rgb="FF000000"/>
        <rFont val="Calibri"/>
        <family val="2"/>
        <scheme val="minor"/>
      </rPr>
      <t xml:space="preserve">Studentshunger interventions 
</t>
    </r>
    <r>
      <rPr>
        <sz val="11"/>
        <color rgb="FF000000"/>
        <rFont val="Calibri"/>
        <family val="2"/>
        <scheme val="minor"/>
      </rPr>
      <t>Provide interventions to prevent or alleviate hunger among students (e.g. including supply and access to food banks/pantries).</t>
    </r>
  </si>
  <si>
    <t>2.3.3</t>
  </si>
  <si>
    <r>
      <rPr>
        <b/>
        <sz val="11"/>
        <rFont val="Calibri"/>
        <family val="2"/>
        <scheme val="minor"/>
      </rPr>
      <t>Sustainable food choices on campus</t>
    </r>
    <r>
      <rPr>
        <sz val="11"/>
        <rFont val="Calibri"/>
        <family val="2"/>
        <scheme val="minor"/>
      </rPr>
      <t xml:space="preserve"> 
Provide sustainable food choices for all on campus, including vegetarian and vegan food.
     •All food outlets
     •Selected food outlets
     </t>
    </r>
  </si>
  <si>
    <t>2.3.4</t>
  </si>
  <si>
    <r>
      <rPr>
        <b/>
        <sz val="11"/>
        <rFont val="Calibri"/>
        <family val="2"/>
        <scheme val="minor"/>
      </rPr>
      <t xml:space="preserve">Healthy and affordable food choices </t>
    </r>
    <r>
      <rPr>
        <sz val="11"/>
        <rFont val="Calibri"/>
        <family val="2"/>
        <scheme val="minor"/>
      </rPr>
      <t xml:space="preserve">
Provide healthy and affordable food choices for all on campus.
     •All food outlets 
     •Selected food outlets
     </t>
    </r>
  </si>
  <si>
    <t>2.3.5</t>
  </si>
  <si>
    <r>
      <rPr>
        <b/>
        <sz val="11"/>
        <color rgb="FF000000"/>
        <rFont val="Calibri"/>
        <family val="2"/>
        <scheme val="minor"/>
      </rPr>
      <t xml:space="preserve">Staff hunger interventions 
</t>
    </r>
    <r>
      <rPr>
        <sz val="11"/>
        <color rgb="FF000000"/>
        <rFont val="Calibri"/>
        <family val="2"/>
        <scheme val="minor"/>
      </rPr>
      <t>Provide interventions to prevent or alleviate hunger among students (e.g. including supply and
access to food banks/pantries).</t>
    </r>
  </si>
  <si>
    <t xml:space="preserve">Proportion of graduates in agriculture and aquaculture including sustainability aspects </t>
  </si>
  <si>
    <t>2.4.1</t>
  </si>
  <si>
    <t>Proportion of graduates in agriculture and aquaculture</t>
  </si>
  <si>
    <t>Number of graduates</t>
  </si>
  <si>
    <t>Number of graduates from agriculture and aquaculture courses including sustainability aspects</t>
  </si>
  <si>
    <t>National hunger</t>
  </si>
  <si>
    <t>2.5.1</t>
  </si>
  <si>
    <r>
      <rPr>
        <b/>
        <sz val="11"/>
        <rFont val="Calibri"/>
        <family val="2"/>
        <scheme val="minor"/>
      </rPr>
      <t xml:space="preserve">Access to food security knowledge </t>
    </r>
    <r>
      <rPr>
        <sz val="11"/>
        <rFont val="Calibri"/>
        <family val="2"/>
        <scheme val="minor"/>
      </rPr>
      <t xml:space="preserve">
Provide access on food security and sustainable agriculture and aquaculture knowledge, skills or technology to local farmers and food producers.
     •Free
     •Paid
     </t>
    </r>
  </si>
  <si>
    <t>2.5.2</t>
  </si>
  <si>
    <r>
      <rPr>
        <b/>
        <sz val="11"/>
        <rFont val="Calibri"/>
        <family val="2"/>
        <scheme val="minor"/>
      </rPr>
      <t>Events for local farmers and food producers</t>
    </r>
    <r>
      <rPr>
        <sz val="11"/>
        <rFont val="Calibri"/>
        <family val="2"/>
        <scheme val="minor"/>
      </rPr>
      <t xml:space="preserve"> 
Provide events for local farmers and food producers to connect and transfer knowledge.
     •Free
     •Paid
     </t>
    </r>
  </si>
  <si>
    <t>2.5.3</t>
  </si>
  <si>
    <r>
      <rPr>
        <b/>
        <sz val="11"/>
        <rFont val="Calibri"/>
        <family val="2"/>
        <scheme val="minor"/>
      </rPr>
      <t xml:space="preserve">University access to local farmers and food producers </t>
    </r>
    <r>
      <rPr>
        <sz val="11"/>
        <rFont val="Calibri"/>
        <family val="2"/>
        <scheme val="minor"/>
      </rPr>
      <t xml:space="preserve">
Provide access to university facilities (e.g. labs, technology, plant stocks) to local farmers and food producers to improve sustainable farming practices.
     •Free 
     •Paid
     </t>
    </r>
  </si>
  <si>
    <t>2.5.4</t>
  </si>
  <si>
    <r>
      <rPr>
        <b/>
        <sz val="11"/>
        <rFont val="Calibri"/>
        <family val="2"/>
        <scheme val="minor"/>
      </rPr>
      <t xml:space="preserve">Sustainable food purchases </t>
    </r>
    <r>
      <rPr>
        <sz val="11"/>
        <rFont val="Calibri"/>
        <family val="2"/>
        <scheme val="minor"/>
      </rPr>
      <t xml:space="preserve">
Prioritise purchase of products from local, sustainable sources.</t>
    </r>
  </si>
  <si>
    <t>SDG3: GOOD HEALTH AND WELLBEING</t>
  </si>
  <si>
    <t xml:space="preserve">Number graduating in health professions </t>
  </si>
  <si>
    <t>3.2.1</t>
  </si>
  <si>
    <t>Proportion of graduates in health professions</t>
  </si>
  <si>
    <t>Number of graduates in health professions</t>
  </si>
  <si>
    <t>Collaborations and health services</t>
  </si>
  <si>
    <t>3.3.1</t>
  </si>
  <si>
    <r>
      <rPr>
        <b/>
        <sz val="11"/>
        <rFont val="Calibri"/>
        <family val="2"/>
        <scheme val="minor"/>
      </rPr>
      <t>Current collaborations with health institutions</t>
    </r>
    <r>
      <rPr>
        <sz val="11"/>
        <rFont val="Calibri"/>
        <family val="2"/>
        <scheme val="minor"/>
      </rPr>
      <t xml:space="preserve">
Have current collaborations with local, national, or global health institutions to improve health and well-being outcomes. 
     •local collaboration
     •national collaboration
     •global cooperation
     </t>
    </r>
  </si>
  <si>
    <t>3.3.2</t>
  </si>
  <si>
    <r>
      <rPr>
        <b/>
        <sz val="11"/>
        <rFont val="Calibri"/>
        <family val="2"/>
        <scheme val="minor"/>
      </rPr>
      <t>Health outreach programmes</t>
    </r>
    <r>
      <rPr>
        <sz val="11"/>
        <rFont val="Calibri"/>
        <family val="2"/>
        <scheme val="minor"/>
      </rPr>
      <t xml:space="preserve">
Deliver outreach programmes and projects in the local community (which can include student volunteering programmes) to improve or promote health and well-being including hygiene, nutrition, family planning, sports, exercise, aging well, and other health and well-being related topics. 
     •Local communities
     •Disadvantaged people
     •Refugee/immigrant communities</t>
    </r>
  </si>
  <si>
    <t>3.3.3</t>
  </si>
  <si>
    <r>
      <rPr>
        <b/>
        <sz val="11"/>
        <rFont val="Calibri"/>
        <family val="2"/>
        <scheme val="minor"/>
      </rPr>
      <t>Shared sports facilities</t>
    </r>
    <r>
      <rPr>
        <sz val="11"/>
        <rFont val="Calibri"/>
        <family val="2"/>
        <scheme val="minor"/>
      </rPr>
      <t xml:space="preserve">
Share sports facilities with the local community, for instance with local schools or with the general public
     •Free access to all facilities
     •Free access to some facilities
     •Charged access</t>
    </r>
  </si>
  <si>
    <t>3.3.4</t>
  </si>
  <si>
    <r>
      <rPr>
        <b/>
        <sz val="11"/>
        <rFont val="Calibri"/>
        <family val="2"/>
        <scheme val="minor"/>
      </rPr>
      <t>Sexual and reproductive health care services for students</t>
    </r>
    <r>
      <rPr>
        <sz val="11"/>
        <rFont val="Calibri"/>
        <family val="2"/>
        <scheme val="minor"/>
      </rPr>
      <t xml:space="preserve">
Provide students access to sexual and reproductive health-care services including information and education services.
     •Free Access
     •Charged Access
     </t>
    </r>
  </si>
  <si>
    <t>3.3.5</t>
  </si>
  <si>
    <r>
      <rPr>
        <b/>
        <sz val="11"/>
        <color rgb="FF000000"/>
        <rFont val="Calibri"/>
        <family val="2"/>
        <scheme val="minor"/>
      </rPr>
      <t xml:space="preserve">Mental health support for students
</t>
    </r>
    <r>
      <rPr>
        <sz val="11"/>
        <color rgb="FF000000"/>
        <rFont val="Calibri"/>
        <family val="2"/>
        <scheme val="minor"/>
      </rPr>
      <t>Provide students with access to mental health support.
     •Active promotion of good mental health
     •Access to (or signposting to) free mental health support
     •Access to (or signposting to) charged mental health support</t>
    </r>
  </si>
  <si>
    <t>3.3.6</t>
  </si>
  <si>
    <r>
      <rPr>
        <b/>
        <sz val="11"/>
        <rFont val="Calibri"/>
        <family val="2"/>
        <scheme val="minor"/>
      </rPr>
      <t>Smoke-free policy</t>
    </r>
    <r>
      <rPr>
        <sz val="11"/>
        <rFont val="Calibri"/>
        <family val="2"/>
        <scheme val="minor"/>
      </rPr>
      <t xml:space="preserve">
Have a ‘smoke-free’ policy.
     •Smoking-free campus
     •Smoking in designated areas
     </t>
    </r>
  </si>
  <si>
    <t>3.3.7</t>
  </si>
  <si>
    <r>
      <rPr>
        <b/>
        <sz val="11"/>
        <color rgb="FF000000"/>
        <rFont val="Calibri"/>
        <family val="2"/>
        <scheme val="minor"/>
      </rPr>
      <t xml:space="preserve">Mental health support for staff
</t>
    </r>
    <r>
      <rPr>
        <sz val="11"/>
        <color rgb="FF000000"/>
        <rFont val="Calibri"/>
        <family val="2"/>
        <scheme val="minor"/>
      </rPr>
      <t xml:space="preserve">Provide staff with access to mental health support.
     •Active promotion of good mental health
     •Access to (or signposting to) free mental health support
     •Access to (or signposting to) charged mental health support
     </t>
    </r>
  </si>
  <si>
    <t>SDG4: QUALITY EDUCATION</t>
  </si>
  <si>
    <t>Proportion of graduates with teaching qualification</t>
  </si>
  <si>
    <t>4.2.1</t>
  </si>
  <si>
    <t>Proportion of graduates with relevant qualification for teaching</t>
  </si>
  <si>
    <t>Number of graduates who gained a qualification that entitled them to teach at primary school level</t>
  </si>
  <si>
    <t xml:space="preserve">Lifelong learning measures </t>
  </si>
  <si>
    <t>4.3.1</t>
  </si>
  <si>
    <r>
      <rPr>
        <b/>
        <sz val="11"/>
        <color rgb="FF000000"/>
        <rFont val="Calibri"/>
        <family val="2"/>
        <scheme val="minor"/>
      </rPr>
      <t xml:space="preserve">Public resources (lifelong learning)
</t>
    </r>
    <r>
      <rPr>
        <sz val="11"/>
        <color rgb="FF000000"/>
        <rFont val="Calibri"/>
        <family val="2"/>
        <scheme val="minor"/>
      </rPr>
      <t>Provide free access to educational resources for those not studying at the university.
     •Free courses leading to certificate or award
     •Free access to campus facilities and equipment
     •Free access to online resources</t>
    </r>
  </si>
  <si>
    <t>4.3.2</t>
  </si>
  <si>
    <r>
      <rPr>
        <b/>
        <sz val="11"/>
        <color rgb="FF000000"/>
        <rFont val="Calibri"/>
        <family val="2"/>
        <scheme val="minor"/>
      </rPr>
      <t xml:space="preserve">Public events (lifelong learning)
</t>
    </r>
    <r>
      <rPr>
        <sz val="11"/>
        <color rgb="FF000000"/>
        <rFont val="Calibri"/>
        <family val="2"/>
        <scheme val="minor"/>
      </rPr>
      <t xml:space="preserve">Host educational events at university that are open to the general public.
     •Free events
     •Both charged and free
     </t>
    </r>
  </si>
  <si>
    <t>4.3.3</t>
  </si>
  <si>
    <r>
      <rPr>
        <b/>
        <sz val="11"/>
        <rFont val="Calibri"/>
        <family val="2"/>
        <scheme val="minor"/>
      </rPr>
      <t>Vocational training events (lifelong learning)</t>
    </r>
    <r>
      <rPr>
        <sz val="11"/>
        <rFont val="Calibri"/>
        <family val="2"/>
        <scheme val="minor"/>
      </rPr>
      <t xml:space="preserve">
Host events at university that are open to the general public: executive education programmes (this refers to short courses for people who are not attending the university; this specifically excludes courses like MBA) and/or vocational training.
     •Ad hoc
     •On programmed basis
     </t>
    </r>
  </si>
  <si>
    <t>4.3.4</t>
  </si>
  <si>
    <r>
      <rPr>
        <b/>
        <sz val="11"/>
        <rFont val="Calibri"/>
        <family val="2"/>
        <scheme val="minor"/>
      </rPr>
      <t>Education outreach activities beyond campus</t>
    </r>
    <r>
      <rPr>
        <sz val="11"/>
        <rFont val="Calibri"/>
        <family val="2"/>
        <scheme val="minor"/>
      </rPr>
      <t xml:space="preserve">
Undertake educational outreach activities (e.g. tailored lectures or demonstrations) beyond campus – in local schools, in the community. This can include voluntary student-run schemes.
     •Ad hoc
     •On programmed basis
     </t>
    </r>
  </si>
  <si>
    <t>4.3.5</t>
  </si>
  <si>
    <r>
      <rPr>
        <b/>
        <sz val="11"/>
        <rFont val="Calibri"/>
        <family val="2"/>
        <scheme val="minor"/>
      </rPr>
      <t>Lifelong learning access policy</t>
    </r>
    <r>
      <rPr>
        <sz val="11"/>
        <rFont val="Calibri"/>
        <family val="2"/>
        <scheme val="minor"/>
      </rPr>
      <t xml:space="preserve">
A policy that ensures that access to these activities is accessible to all, regardless of ethnicity, religion, disability, immigration status  or gender.</t>
    </r>
  </si>
  <si>
    <t>Proportion of first-generation students</t>
  </si>
  <si>
    <t>4.4.1</t>
  </si>
  <si>
    <t xml:space="preserve">Number of students starting a degree </t>
  </si>
  <si>
    <t xml:space="preserve">Number of first-generation students starting a degree </t>
  </si>
  <si>
    <t>SDG5: GENDER EQUALITY</t>
  </si>
  <si>
    <t xml:space="preserve">Proportion of first-generation female students </t>
  </si>
  <si>
    <t>5.2.1</t>
  </si>
  <si>
    <t>Proportion of women first- generation</t>
  </si>
  <si>
    <t>Number of women starting a degree</t>
  </si>
  <si>
    <t>Number of first-generation women starting a degree</t>
  </si>
  <si>
    <t>Student access measures</t>
  </si>
  <si>
    <t>5.3.1</t>
  </si>
  <si>
    <r>
      <rPr>
        <b/>
        <sz val="11"/>
        <rFont val="Calibri"/>
        <family val="2"/>
        <scheme val="minor"/>
      </rPr>
      <t>Tracking access measures</t>
    </r>
    <r>
      <rPr>
        <sz val="11"/>
        <rFont val="Calibri"/>
        <family val="2"/>
        <scheme val="minor"/>
      </rPr>
      <t xml:space="preserve">
Systematically measure and track women’s application rate, and acceptance or entry rate.</t>
    </r>
  </si>
  <si>
    <t>5.3.2</t>
  </si>
  <si>
    <r>
      <rPr>
        <b/>
        <sz val="11"/>
        <rFont val="Calibri"/>
        <family val="2"/>
        <scheme val="minor"/>
      </rPr>
      <t>Policy for women applications and entry</t>
    </r>
    <r>
      <rPr>
        <sz val="11"/>
        <rFont val="Calibri"/>
        <family val="2"/>
        <scheme val="minor"/>
      </rPr>
      <t xml:space="preserve">
Have a policy (e.g. an Access and Participation plan) addressing women’s applications, acceptance, entry, and participation at the university.</t>
    </r>
  </si>
  <si>
    <t>5.3.3</t>
  </si>
  <si>
    <r>
      <rPr>
        <b/>
        <sz val="11"/>
        <color rgb="FF000000"/>
        <rFont val="Calibri"/>
        <family val="2"/>
        <scheme val="minor"/>
      </rPr>
      <t xml:space="preserve">Women’s access schemes
</t>
    </r>
    <r>
      <rPr>
        <sz val="11"/>
        <color rgb="FF000000"/>
        <rFont val="Calibri"/>
        <family val="2"/>
        <scheme val="minor"/>
      </rPr>
      <t xml:space="preserve">Provide women’s access schemes, including mentoring, scholarships, or other provision
     •Mentoring
     •Scholarship 
     •Other provision
     </t>
    </r>
  </si>
  <si>
    <t>5.3.4</t>
  </si>
  <si>
    <r>
      <rPr>
        <b/>
        <sz val="11"/>
        <rFont val="Calibri"/>
        <family val="2"/>
        <scheme val="minor"/>
      </rPr>
      <t>Women's application in underrepresented subjects</t>
    </r>
    <r>
      <rPr>
        <sz val="11"/>
        <rFont val="Calibri"/>
        <family val="2"/>
        <scheme val="minor"/>
      </rPr>
      <t xml:space="preserve">
Encourage applications by women in subjects where they are underrepresented. Through university outreach or through collaboration with other universities, community groups, government or NGOs in regional or national campaigns.
     •through university outreach 
     •through collaboration with other universities and/or community groups and/or government      and/or NGOs in regional or national campaigns
     </t>
    </r>
  </si>
  <si>
    <t>Proportion of senior female academics</t>
  </si>
  <si>
    <t>5.4.1</t>
  </si>
  <si>
    <t>Number of senior academic staff</t>
  </si>
  <si>
    <t>Number of female senior academic staff</t>
  </si>
  <si>
    <t xml:space="preserve">Proportion of women receiving degrees </t>
  </si>
  <si>
    <t>5.5.1</t>
  </si>
  <si>
    <t>Proportion of female degrees awarded</t>
  </si>
  <si>
    <t>Number of graduates: Total</t>
  </si>
  <si>
    <t>Number of graduates by subject area (STEM, Medicine, Arts &amp; Humanities / Social Sciences): Total</t>
  </si>
  <si>
    <t>Number of graduates: STEM</t>
  </si>
  <si>
    <t>Number of graduates: Medicine</t>
  </si>
  <si>
    <t>Number of graduates: Arts &amp; Humanities / Social Sciences</t>
  </si>
  <si>
    <t>Number of female graduates by subject area (STEM, Medicine, Arts &amp; Humanities / Social Sciences): Total</t>
  </si>
  <si>
    <t>Number of female graduates: STEM</t>
  </si>
  <si>
    <t>Number of female graduates: Medicine</t>
  </si>
  <si>
    <t>Number of female graduates: Arts &amp; Humanities / Social Sciences</t>
  </si>
  <si>
    <t>Women’s progress measures</t>
  </si>
  <si>
    <t>5.6.1</t>
  </si>
  <si>
    <r>
      <rPr>
        <b/>
        <sz val="11"/>
        <rFont val="Calibri"/>
        <family val="2"/>
        <scheme val="minor"/>
      </rPr>
      <t>Policy of non-discrimination vs women</t>
    </r>
    <r>
      <rPr>
        <sz val="11"/>
        <rFont val="Calibri"/>
        <family val="2"/>
        <scheme val="minor"/>
      </rPr>
      <t xml:space="preserve">
Have a policy of non-discrimination against women
</t>
    </r>
  </si>
  <si>
    <t>5.6.2</t>
  </si>
  <si>
    <r>
      <rPr>
        <b/>
        <sz val="11"/>
        <rFont val="Calibri"/>
        <family val="2"/>
        <scheme val="minor"/>
      </rPr>
      <t>Non-discrimination policies for transgender</t>
    </r>
    <r>
      <rPr>
        <sz val="11"/>
        <rFont val="Calibri"/>
        <family val="2"/>
        <scheme val="minor"/>
      </rPr>
      <t xml:space="preserve">
Have a policy of non-discrimination for transgender people.
</t>
    </r>
  </si>
  <si>
    <t>5.6.3</t>
  </si>
  <si>
    <r>
      <rPr>
        <b/>
        <sz val="11"/>
        <color rgb="FF000000"/>
        <rFont val="Calibri"/>
        <family val="2"/>
        <scheme val="minor"/>
      </rPr>
      <t xml:space="preserve">Maternity policy
</t>
    </r>
    <r>
      <rPr>
        <sz val="11"/>
        <color rgb="FF000000"/>
        <rFont val="Calibri"/>
        <family val="2"/>
        <scheme val="minor"/>
      </rPr>
      <t>Have a maternity policy that supports women’s participation.</t>
    </r>
  </si>
  <si>
    <t>5.6.4</t>
  </si>
  <si>
    <r>
      <rPr>
        <b/>
        <sz val="11"/>
        <rFont val="Calibri"/>
        <family val="2"/>
        <scheme val="minor"/>
      </rPr>
      <t>Childcare facilities for students</t>
    </r>
    <r>
      <rPr>
        <sz val="11"/>
        <rFont val="Calibri"/>
        <family val="2"/>
        <scheme val="minor"/>
      </rPr>
      <t xml:space="preserve">
Have accessible childcare facilities for students which allow recent mothers to attend university courses. 
     •Free
     •Paid
     </t>
    </r>
  </si>
  <si>
    <t>5.6.5</t>
  </si>
  <si>
    <r>
      <rPr>
        <b/>
        <sz val="11"/>
        <rFont val="Calibri"/>
        <family val="2"/>
        <scheme val="minor"/>
      </rPr>
      <t>Childcare facilities for staff and faculty</t>
    </r>
    <r>
      <rPr>
        <sz val="11"/>
        <rFont val="Calibri"/>
        <family val="2"/>
        <scheme val="minor"/>
      </rPr>
      <t xml:space="preserve">
Have childcare facilities for staff and faculty
     •Free 
     •Paid
     </t>
    </r>
  </si>
  <si>
    <t>5.6.6</t>
  </si>
  <si>
    <r>
      <rPr>
        <b/>
        <sz val="11"/>
        <rFont val="Calibri"/>
        <family val="2"/>
        <scheme val="minor"/>
      </rPr>
      <t>Women’s mentoring schemes</t>
    </r>
    <r>
      <rPr>
        <sz val="11"/>
        <rFont val="Calibri"/>
        <family val="2"/>
        <scheme val="minor"/>
      </rPr>
      <t xml:space="preserve">
Have women’s mentoring schemes, in which at least 10% of female students participate.</t>
    </r>
  </si>
  <si>
    <t>5.6.7</t>
  </si>
  <si>
    <r>
      <rPr>
        <b/>
        <sz val="11"/>
        <rFont val="Calibri"/>
        <family val="2"/>
        <scheme val="minor"/>
      </rPr>
      <t>Track women’s graduation rate</t>
    </r>
    <r>
      <rPr>
        <sz val="11"/>
        <rFont val="Calibri"/>
        <family val="2"/>
        <scheme val="minor"/>
      </rPr>
      <t xml:space="preserve">
Have measurement or tracking of women’s likelihood of graduating compared to men’s, and schemes in place to close any gap.</t>
    </r>
  </si>
  <si>
    <t>5.6.8</t>
  </si>
  <si>
    <r>
      <rPr>
        <b/>
        <sz val="11"/>
        <rFont val="Calibri"/>
        <family val="2"/>
        <scheme val="minor"/>
      </rPr>
      <t>Policies protecting those reporting discrimination</t>
    </r>
    <r>
      <rPr>
        <sz val="11"/>
        <rFont val="Calibri"/>
        <family val="2"/>
        <scheme val="minor"/>
      </rPr>
      <t xml:space="preserve">
Have a policy that protects those reporting discrimination from educational or employment disadvantage.</t>
    </r>
  </si>
  <si>
    <t>5.6.9</t>
  </si>
  <si>
    <r>
      <rPr>
        <b/>
        <sz val="11"/>
        <color rgb="FF000000"/>
        <rFont val="Calibri"/>
        <family val="2"/>
        <scheme val="minor"/>
      </rPr>
      <t xml:space="preserve">Paternity policy
</t>
    </r>
    <r>
      <rPr>
        <sz val="11"/>
        <color rgb="FF000000"/>
        <rFont val="Calibri"/>
        <family val="2"/>
        <scheme val="minor"/>
      </rPr>
      <t>Have a paternity policy that supports women’s participation by ensuring that fathers can participate in childcare duties.</t>
    </r>
  </si>
  <si>
    <t xml:space="preserve">SDG6: CLEAN WATER AND SANITATION </t>
  </si>
  <si>
    <t xml:space="preserve">Water consumption per person </t>
  </si>
  <si>
    <t>6.2.1</t>
  </si>
  <si>
    <r>
      <t xml:space="preserve">Water consumption tracking
</t>
    </r>
    <r>
      <rPr>
        <sz val="11"/>
        <rFont val="Calibri"/>
        <family val="2"/>
        <scheme val="minor"/>
      </rPr>
      <t>Measure the total volume of water used in the university that is taken from mains supply, desalinated, or extracted from rivers, lakes, or aquifers? 
•Whole university
•Partial measurement</t>
    </r>
    <r>
      <rPr>
        <b/>
        <sz val="11"/>
        <rFont val="Calibri"/>
        <family val="2"/>
        <scheme val="minor"/>
      </rPr>
      <t xml:space="preserve">
</t>
    </r>
  </si>
  <si>
    <t>6.2.2</t>
  </si>
  <si>
    <t>Water consumption per person</t>
  </si>
  <si>
    <t>Volume of water used in the university: Inbound (treated/extracted water)</t>
  </si>
  <si>
    <t>Water usage and care</t>
  </si>
  <si>
    <t>6.3.1</t>
  </si>
  <si>
    <r>
      <rPr>
        <b/>
        <sz val="11"/>
        <rFont val="Calibri"/>
        <family val="2"/>
        <scheme val="minor"/>
      </rPr>
      <t>Wastewater treatment</t>
    </r>
    <r>
      <rPr>
        <sz val="11"/>
        <rFont val="Calibri"/>
        <family val="2"/>
        <scheme val="minor"/>
      </rPr>
      <t xml:space="preserve">
A process in place to treat wastewater.</t>
    </r>
  </si>
  <si>
    <t>6.3.2</t>
  </si>
  <si>
    <r>
      <rPr>
        <b/>
        <sz val="11"/>
        <rFont val="Calibri"/>
        <family val="2"/>
        <scheme val="minor"/>
      </rPr>
      <t>Preventing water system pollution</t>
    </r>
    <r>
      <rPr>
        <sz val="11"/>
        <rFont val="Calibri"/>
        <family val="2"/>
        <scheme val="minor"/>
      </rPr>
      <t xml:space="preserve"> 
Processes to prevent polluted water entering the water system, including pollution caused by accidents and incidents at the university.</t>
    </r>
  </si>
  <si>
    <t>6.3.3</t>
  </si>
  <si>
    <r>
      <rPr>
        <b/>
        <sz val="11"/>
        <rFont val="Calibri"/>
        <family val="2"/>
        <scheme val="minor"/>
      </rPr>
      <t>Free drinking water provided</t>
    </r>
    <r>
      <rPr>
        <sz val="11"/>
        <rFont val="Calibri"/>
        <family val="2"/>
        <scheme val="minor"/>
      </rPr>
      <t xml:space="preserve">
Provide free drinking water for students, staff and/or visitors (e.g. drinking water fountains).</t>
    </r>
  </si>
  <si>
    <t>6.3.4</t>
  </si>
  <si>
    <r>
      <rPr>
        <b/>
        <sz val="11"/>
        <rFont val="Calibri"/>
        <family val="2"/>
        <scheme val="minor"/>
      </rPr>
      <t>Water-conscious building standards</t>
    </r>
    <r>
      <rPr>
        <sz val="11"/>
        <rFont val="Calibri"/>
        <family val="2"/>
        <scheme val="minor"/>
      </rPr>
      <t xml:space="preserve">
Apply building standards to minimise water use</t>
    </r>
  </si>
  <si>
    <t>6.3.5</t>
  </si>
  <si>
    <r>
      <rPr>
        <b/>
        <sz val="11"/>
        <rFont val="Calibri"/>
        <family val="2"/>
        <scheme val="minor"/>
      </rPr>
      <t>Water-conscious planting</t>
    </r>
    <r>
      <rPr>
        <sz val="11"/>
        <rFont val="Calibri"/>
        <family val="2"/>
        <scheme val="minor"/>
      </rPr>
      <t xml:space="preserve">
Plant landscapes to minimise water usage. (e.g. use drought-tolerant plants)</t>
    </r>
  </si>
  <si>
    <t xml:space="preserve">Water reuse </t>
  </si>
  <si>
    <t>6.4.1</t>
  </si>
  <si>
    <r>
      <rPr>
        <b/>
        <sz val="11"/>
        <rFont val="Calibri"/>
        <family val="2"/>
        <scheme val="minor"/>
      </rPr>
      <t>Water re-use policy</t>
    </r>
    <r>
      <rPr>
        <sz val="11"/>
        <rFont val="Calibri"/>
        <family val="2"/>
        <scheme val="minor"/>
      </rPr>
      <t xml:space="preserve">
Have a policy to maximise water reuse across the university?</t>
    </r>
  </si>
  <si>
    <t>6.4.2</t>
  </si>
  <si>
    <r>
      <rPr>
        <b/>
        <sz val="11"/>
        <rFont val="Calibri"/>
        <family val="2"/>
        <scheme val="minor"/>
      </rPr>
      <t>Water re-use measurement</t>
    </r>
    <r>
      <rPr>
        <sz val="11"/>
        <rFont val="Calibri"/>
        <family val="2"/>
        <scheme val="minor"/>
      </rPr>
      <t xml:space="preserve">
Measure the reuse of water across the university?</t>
    </r>
  </si>
  <si>
    <t>Water in the community</t>
  </si>
  <si>
    <t>6.5.1</t>
  </si>
  <si>
    <r>
      <rPr>
        <b/>
        <sz val="11"/>
        <rFont val="Calibri"/>
        <family val="2"/>
        <scheme val="minor"/>
      </rPr>
      <t>Water management educational opportunities</t>
    </r>
    <r>
      <rPr>
        <sz val="11"/>
        <rFont val="Calibri"/>
        <family val="2"/>
        <scheme val="minor"/>
      </rPr>
      <t xml:space="preserve">
Provide educational opportunities for local communities to learn about good water management.
     •Free 
     •Paid
     </t>
    </r>
  </si>
  <si>
    <t>6.5.2</t>
  </si>
  <si>
    <r>
      <rPr>
        <b/>
        <sz val="11"/>
        <color rgb="FF000000"/>
        <rFont val="Calibri"/>
        <family val="2"/>
        <scheme val="minor"/>
      </rPr>
      <t xml:space="preserve">Off-campus water conservation support
</t>
    </r>
    <r>
      <rPr>
        <sz val="11"/>
        <color rgb="FF000000"/>
        <rFont val="Calibri"/>
        <family val="2"/>
        <scheme val="minor"/>
      </rPr>
      <t>Support practical water conservation off campus</t>
    </r>
  </si>
  <si>
    <t>6.5.3</t>
  </si>
  <si>
    <r>
      <rPr>
        <b/>
        <sz val="11"/>
        <rFont val="Calibri"/>
        <family val="2"/>
        <scheme val="minor"/>
      </rPr>
      <t>Sustainable water extraction on campus</t>
    </r>
    <r>
      <rPr>
        <sz val="11"/>
        <rFont val="Calibri"/>
        <family val="2"/>
        <scheme val="minor"/>
      </rPr>
      <t xml:space="preserve">
Where water is extracted (for example from aquifers, lakes or rivers) utilise sustainable water extraction technologies on associated university grounds on and off campus.</t>
    </r>
  </si>
  <si>
    <t>6.5.4</t>
  </si>
  <si>
    <r>
      <rPr>
        <b/>
        <sz val="11"/>
        <rFont val="Calibri"/>
        <family val="2"/>
        <scheme val="minor"/>
      </rPr>
      <t>Cooperation on water security</t>
    </r>
    <r>
      <rPr>
        <sz val="11"/>
        <rFont val="Calibri"/>
        <family val="2"/>
        <scheme val="minor"/>
      </rPr>
      <t xml:space="preserve">
Cooperate with local, regional, national, or global governments on water security.
     •Local
     •Regional
     •National 
     </t>
    </r>
  </si>
  <si>
    <t>6.5.5</t>
  </si>
  <si>
    <t xml:space="preserve">Promoting conscious water usage on campus
Actively promote conscious water usage on campus, </t>
  </si>
  <si>
    <t>6.5.6</t>
  </si>
  <si>
    <t xml:space="preserve">Promoting conscious water usage in the wider community.
Actively promote conscious water usage in the wider community </t>
  </si>
  <si>
    <t xml:space="preserve">SDG7: AFFORDABLE AND CLEAN ENERGY </t>
  </si>
  <si>
    <t>University measures towards affordable and clean energy</t>
  </si>
  <si>
    <t>7.2.1</t>
  </si>
  <si>
    <r>
      <rPr>
        <b/>
        <sz val="11"/>
        <rFont val="Calibri"/>
        <family val="2"/>
        <scheme val="minor"/>
      </rPr>
      <t>Energy-efficient renovation and building</t>
    </r>
    <r>
      <rPr>
        <sz val="11"/>
        <rFont val="Calibri"/>
        <family val="2"/>
        <scheme val="minor"/>
      </rPr>
      <t xml:space="preserve">
Have a policy in place for ensuring all renovations or new builds are following energy efficiency standards</t>
    </r>
  </si>
  <si>
    <t>7.2.2</t>
  </si>
  <si>
    <r>
      <rPr>
        <b/>
        <sz val="11"/>
        <rFont val="Calibri"/>
        <family val="2"/>
        <scheme val="minor"/>
      </rPr>
      <t>Upgrade buildings to higher energy efficiency</t>
    </r>
    <r>
      <rPr>
        <sz val="11"/>
        <rFont val="Calibri"/>
        <family val="2"/>
        <scheme val="minor"/>
      </rPr>
      <t xml:space="preserve">
Have plans to upgrade existing buildings to higher energy efficiency</t>
    </r>
  </si>
  <si>
    <t>7.2.3</t>
  </si>
  <si>
    <r>
      <rPr>
        <b/>
        <sz val="11"/>
        <rFont val="Calibri"/>
        <family val="2"/>
        <scheme val="minor"/>
      </rPr>
      <t>Carbon reduction and emission reduction process</t>
    </r>
    <r>
      <rPr>
        <sz val="11"/>
        <rFont val="Calibri"/>
        <family val="2"/>
        <scheme val="minor"/>
      </rPr>
      <t xml:space="preserve">
Have a process for carbon management and reducing carbon dioxide emissions</t>
    </r>
  </si>
  <si>
    <t>7.2.4</t>
  </si>
  <si>
    <r>
      <rPr>
        <b/>
        <sz val="11"/>
        <rFont val="Calibri"/>
        <family val="2"/>
        <scheme val="minor"/>
      </rPr>
      <t>Plan to reduce energy consumption</t>
    </r>
    <r>
      <rPr>
        <sz val="11"/>
        <rFont val="Calibri"/>
        <family val="2"/>
        <scheme val="minor"/>
      </rPr>
      <t xml:space="preserve">
Have an energy efficiency plan in place to reduce overall energy consumption</t>
    </r>
  </si>
  <si>
    <t>7.2.5</t>
  </si>
  <si>
    <r>
      <rPr>
        <b/>
        <sz val="11"/>
        <rFont val="Calibri"/>
        <family val="2"/>
        <scheme val="minor"/>
      </rPr>
      <t>Energy wastage identification</t>
    </r>
    <r>
      <rPr>
        <sz val="11"/>
        <rFont val="Calibri"/>
        <family val="2"/>
        <scheme val="minor"/>
      </rPr>
      <t xml:space="preserve">
Undergo energy reviews to identify areas where energy waste is highest </t>
    </r>
  </si>
  <si>
    <t>7.2.6</t>
  </si>
  <si>
    <r>
      <rPr>
        <b/>
        <sz val="11"/>
        <rFont val="Calibri"/>
        <family val="2"/>
        <scheme val="minor"/>
      </rPr>
      <t>Divestment policy</t>
    </r>
    <r>
      <rPr>
        <sz val="11"/>
        <rFont val="Calibri"/>
        <family val="2"/>
        <scheme val="minor"/>
      </rPr>
      <t xml:space="preserve">
Have a policy on divesting investments from carbon-intensive energy industries notably coal and oil </t>
    </r>
  </si>
  <si>
    <t>Energy use density</t>
  </si>
  <si>
    <t>7.3.1</t>
  </si>
  <si>
    <t>Energy usage per sqm</t>
  </si>
  <si>
    <t>Total energy used</t>
  </si>
  <si>
    <t>University floor space</t>
  </si>
  <si>
    <t>Energy and the community</t>
  </si>
  <si>
    <t>7.4.1</t>
  </si>
  <si>
    <r>
      <rPr>
        <b/>
        <sz val="11"/>
        <rFont val="Calibri"/>
        <family val="2"/>
        <scheme val="minor"/>
      </rPr>
      <t>Local community outreach for energy efficiency</t>
    </r>
    <r>
      <rPr>
        <sz val="11"/>
        <rFont val="Calibri"/>
        <family val="2"/>
        <scheme val="minor"/>
      </rPr>
      <t xml:space="preserve">
Provide programmes for local community to learn about importance of energy efficiency and clean energy</t>
    </r>
  </si>
  <si>
    <t>7.4.2</t>
  </si>
  <si>
    <r>
      <rPr>
        <b/>
        <sz val="11"/>
        <rFont val="Calibri"/>
        <family val="2"/>
        <scheme val="minor"/>
      </rPr>
      <t>100% renewable energy pledge</t>
    </r>
    <r>
      <rPr>
        <sz val="11"/>
        <rFont val="Calibri"/>
        <family val="2"/>
        <scheme val="minor"/>
      </rPr>
      <t xml:space="preserve">
Promote a public pledge toward 100% renewable energy beyond the university</t>
    </r>
  </si>
  <si>
    <t>7.4.3</t>
  </si>
  <si>
    <r>
      <rPr>
        <b/>
        <sz val="11"/>
        <rFont val="Calibri"/>
        <family val="2"/>
        <scheme val="minor"/>
      </rPr>
      <t>Energy efficiency services for industry</t>
    </r>
    <r>
      <rPr>
        <sz val="11"/>
        <rFont val="Calibri"/>
        <family val="2"/>
        <scheme val="minor"/>
      </rPr>
      <t xml:space="preserve">
Provide direct services to local industry aimed at improving energy efficiency and clean energy (energy efficiency assessments, workshops, research renewable energy options)
     •Free  
     •Paid
     </t>
    </r>
  </si>
  <si>
    <t>7.4.4</t>
  </si>
  <si>
    <r>
      <rPr>
        <b/>
        <sz val="11"/>
        <rFont val="Calibri"/>
        <family val="2"/>
        <scheme val="minor"/>
      </rPr>
      <t>Policy development for clean energy tech</t>
    </r>
    <r>
      <rPr>
        <sz val="11"/>
        <rFont val="Calibri"/>
        <family val="2"/>
        <scheme val="minor"/>
      </rPr>
      <t xml:space="preserve">
Inform and support governments in clean energy and energy-efficient technology policy development
     •Local 
     •Regional 
     •National
     •Global
     </t>
    </r>
  </si>
  <si>
    <t>7.4.5</t>
  </si>
  <si>
    <r>
      <rPr>
        <b/>
        <sz val="11"/>
        <rFont val="Calibri"/>
        <family val="2"/>
        <scheme val="minor"/>
      </rPr>
      <t>Assistance to low-carbon innovation</t>
    </r>
    <r>
      <rPr>
        <sz val="11"/>
        <rFont val="Calibri"/>
        <family val="2"/>
        <scheme val="minor"/>
      </rPr>
      <t xml:space="preserve">
Provide assistance for start-ups that foster and support a low-carbon economy or technology </t>
    </r>
  </si>
  <si>
    <t>Low-carbon energy use</t>
  </si>
  <si>
    <t>7.5.1</t>
  </si>
  <si>
    <t>Total energy used from low-carbon sources</t>
  </si>
  <si>
    <t>SDG8: DECENT WORK AND ECONOMIC GROWTH</t>
  </si>
  <si>
    <t>Employment practice</t>
  </si>
  <si>
    <t>8.2.1</t>
  </si>
  <si>
    <r>
      <rPr>
        <b/>
        <sz val="11"/>
        <rFont val="Calibri"/>
        <family val="2"/>
        <scheme val="minor"/>
      </rPr>
      <t>Employment practice living wage</t>
    </r>
    <r>
      <rPr>
        <sz val="11"/>
        <rFont val="Calibri"/>
        <family val="2"/>
        <scheme val="minor"/>
      </rPr>
      <t xml:space="preserve">
Pay all staff and faculty at least the living wage, defined as the local living wage (if government defines this) or the local financial poverty indicator for a family of four (expressed as an hourly wage)</t>
    </r>
  </si>
  <si>
    <t>8.2.2</t>
  </si>
  <si>
    <r>
      <rPr>
        <b/>
        <sz val="11"/>
        <color rgb="FF000000"/>
        <rFont val="Calibri"/>
        <family val="2"/>
        <scheme val="minor"/>
      </rPr>
      <t xml:space="preserve">Employment practice unions
</t>
    </r>
    <r>
      <rPr>
        <sz val="11"/>
        <color rgb="FF000000"/>
        <rFont val="Calibri"/>
        <family val="2"/>
        <scheme val="minor"/>
      </rPr>
      <t>Recognize unions (freedom of association &amp; collective bargaining) for all, including women &amp; international staff</t>
    </r>
  </si>
  <si>
    <t>8.2.3</t>
  </si>
  <si>
    <r>
      <rPr>
        <b/>
        <sz val="11"/>
        <rFont val="Calibri"/>
        <family val="2"/>
        <scheme val="minor"/>
      </rPr>
      <t>Employment policy on discrimination</t>
    </r>
    <r>
      <rPr>
        <sz val="11"/>
        <rFont val="Calibri"/>
        <family val="2"/>
        <scheme val="minor"/>
      </rPr>
      <t xml:space="preserve">
Have a policy on ending discrimination in the workplace (including discrimination based on religion, sexuality, gender, age or refugee status)</t>
    </r>
  </si>
  <si>
    <t>8.2.4</t>
  </si>
  <si>
    <r>
      <rPr>
        <b/>
        <sz val="11"/>
        <rFont val="Calibri"/>
        <family val="2"/>
        <scheme val="minor"/>
      </rPr>
      <t>Employment policy modern slavery</t>
    </r>
    <r>
      <rPr>
        <sz val="11"/>
        <rFont val="Calibri"/>
        <family val="2"/>
        <scheme val="minor"/>
      </rPr>
      <t xml:space="preserve">
Have a policy commitment against forced labour, modern slavery, human trafficking and child labour</t>
    </r>
  </si>
  <si>
    <t>8.2.5</t>
  </si>
  <si>
    <r>
      <rPr>
        <b/>
        <sz val="11"/>
        <rFont val="Calibri"/>
        <family val="2"/>
        <scheme val="minor"/>
      </rPr>
      <t>Employment practice equivalent rights outsourcing</t>
    </r>
    <r>
      <rPr>
        <sz val="11"/>
        <rFont val="Calibri"/>
        <family val="2"/>
        <scheme val="minor"/>
      </rPr>
      <t xml:space="preserve">
Have a policy on guaranteeing equivalent rights of workers when outsourcing activities to third parties</t>
    </r>
  </si>
  <si>
    <t>8.2.6</t>
  </si>
  <si>
    <r>
      <rPr>
        <b/>
        <sz val="11"/>
        <rFont val="Calibri"/>
        <family val="2"/>
        <scheme val="minor"/>
      </rPr>
      <t>Employment policy pay scale equity</t>
    </r>
    <r>
      <rPr>
        <sz val="11"/>
        <rFont val="Calibri"/>
        <family val="2"/>
        <scheme val="minor"/>
      </rPr>
      <t xml:space="preserve">
Have a policy on pay scale equity including a commitment to measurement and elimination of gender pay gaps</t>
    </r>
  </si>
  <si>
    <t>8.2.7</t>
  </si>
  <si>
    <r>
      <rPr>
        <b/>
        <sz val="11"/>
        <rFont val="Calibri"/>
        <family val="2"/>
        <scheme val="minor"/>
      </rPr>
      <t>Tracking pay scale for gender equity</t>
    </r>
    <r>
      <rPr>
        <sz val="11"/>
        <rFont val="Calibri"/>
        <family val="2"/>
        <scheme val="minor"/>
      </rPr>
      <t xml:space="preserve">
Measurement or tracking pay scale gender equity</t>
    </r>
  </si>
  <si>
    <t>8.2.8</t>
  </si>
  <si>
    <r>
      <rPr>
        <b/>
        <sz val="11"/>
        <rFont val="Calibri"/>
        <family val="2"/>
        <scheme val="minor"/>
      </rPr>
      <t>Employment practice appeal process</t>
    </r>
    <r>
      <rPr>
        <sz val="11"/>
        <rFont val="Calibri"/>
        <family val="2"/>
        <scheme val="minor"/>
      </rPr>
      <t xml:space="preserve">
Have a process for employees to appeal on employee rights and/or pay</t>
    </r>
  </si>
  <si>
    <t>8.2.9</t>
  </si>
  <si>
    <r>
      <rPr>
        <b/>
        <sz val="11"/>
        <color rgb="FF000000"/>
        <rFont val="Calibri"/>
        <family val="2"/>
        <scheme val="minor"/>
      </rPr>
      <t xml:space="preserve">Employment practice labour rights
</t>
    </r>
    <r>
      <rPr>
        <sz val="11"/>
        <color rgb="FF000000"/>
        <rFont val="Calibri"/>
        <family val="2"/>
        <scheme val="minor"/>
      </rPr>
      <t>Recognise labour rights (freedom of association and collective bargaining for all, including women and international staff</t>
    </r>
  </si>
  <si>
    <t>Expenditure per employee</t>
  </si>
  <si>
    <t>8.3.1</t>
  </si>
  <si>
    <t>Number of employees</t>
  </si>
  <si>
    <t>University expenditure</t>
  </si>
  <si>
    <t>Proportion of students taking work placements</t>
  </si>
  <si>
    <t>8.4.1</t>
  </si>
  <si>
    <t>Proportion of students work with placements</t>
  </si>
  <si>
    <t>Number of students with work placements for more than a month</t>
  </si>
  <si>
    <t>Proportion of employees on secure contracts</t>
  </si>
  <si>
    <t>8.5.1</t>
  </si>
  <si>
    <t>Number of employees on contracts of over 24 months</t>
  </si>
  <si>
    <t>SDG9: INDUSTRY, INNOVATION AND INFRASTRUCTURE</t>
  </si>
  <si>
    <t>University spin offs</t>
  </si>
  <si>
    <t>9.3.1</t>
  </si>
  <si>
    <r>
      <rPr>
        <b/>
        <sz val="11"/>
        <rFont val="Calibri"/>
        <family val="2"/>
        <scheme val="minor"/>
      </rPr>
      <t>Number of university spin offs</t>
    </r>
    <r>
      <rPr>
        <sz val="11"/>
        <rFont val="Calibri"/>
        <family val="2"/>
        <scheme val="minor"/>
      </rPr>
      <t xml:space="preserve">
Number of university spin-offs</t>
    </r>
  </si>
  <si>
    <t>Research income from industry and commerce</t>
  </si>
  <si>
    <t>9.4.1</t>
  </si>
  <si>
    <t>Research income from industry and commerce per academic staff</t>
  </si>
  <si>
    <t>Research income from industry and commerce  by subject area: STEM</t>
  </si>
  <si>
    <t>Research income from industry and commerce  by subject area: Medicine</t>
  </si>
  <si>
    <t>Research income from industry and commerce by subject area: Arts &amp; Humanities / Social Sciences</t>
  </si>
  <si>
    <t>Number of academic staff by subject area: STEM</t>
  </si>
  <si>
    <t>Number of academic staff by subject area: Medicine</t>
  </si>
  <si>
    <t>Number of academic staff by subject area: Arts &amp; Humanities / Social Sciences</t>
  </si>
  <si>
    <t>SDG10: REDUCED INEQUALITIES</t>
  </si>
  <si>
    <t xml:space="preserve">First generation students   </t>
  </si>
  <si>
    <t>10.2.1</t>
  </si>
  <si>
    <t>Number of students starting a degree</t>
  </si>
  <si>
    <t>Number of first-generation students starting a degree</t>
  </si>
  <si>
    <t xml:space="preserve">International students from developing countries </t>
  </si>
  <si>
    <t>10.3.1</t>
  </si>
  <si>
    <t>Proportion of international students from developing countries</t>
  </si>
  <si>
    <t>Number of international students from developing countries</t>
  </si>
  <si>
    <t xml:space="preserve">Proportion of students with disabilities </t>
  </si>
  <si>
    <t>10.4.1</t>
  </si>
  <si>
    <t>Proportion of students with disabilities</t>
  </si>
  <si>
    <t>Number of students with disability</t>
  </si>
  <si>
    <t xml:space="preserve">Proportion of employees with disabilities </t>
  </si>
  <si>
    <t>10.5.1</t>
  </si>
  <si>
    <t>Proportion of employees with disabilities</t>
  </si>
  <si>
    <t>Number of employees with disability</t>
  </si>
  <si>
    <t>Measures against discrimination</t>
  </si>
  <si>
    <t>10.6.1</t>
  </si>
  <si>
    <r>
      <rPr>
        <b/>
        <sz val="11"/>
        <rFont val="Calibri"/>
        <family val="2"/>
        <scheme val="minor"/>
      </rPr>
      <t>Non-discriminatory admissions policy</t>
    </r>
    <r>
      <rPr>
        <sz val="11"/>
        <rFont val="Calibri"/>
        <family val="2"/>
        <scheme val="minor"/>
      </rPr>
      <t xml:space="preserve">
Have an admissions policy which is non-discriminatory or which details and explains the logic for any appropriate positive discrimination policies in admissions</t>
    </r>
  </si>
  <si>
    <t>10.6.2</t>
  </si>
  <si>
    <r>
      <rPr>
        <b/>
        <sz val="11"/>
        <rFont val="Calibri"/>
        <family val="2"/>
        <scheme val="minor"/>
      </rPr>
      <t>Access to university track underrepresented groups applications</t>
    </r>
    <r>
      <rPr>
        <sz val="11"/>
        <rFont val="Calibri"/>
        <family val="2"/>
        <scheme val="minor"/>
      </rPr>
      <t xml:space="preserve">
Measure and track applications and admissions of underrepresented (and potentially underrepresented) groups including ethnic minorities, low income students, non-traditional students, women, LGBT students, disabled students and newly settled refugee student.</t>
    </r>
  </si>
  <si>
    <t>10.6.3</t>
  </si>
  <si>
    <r>
      <rPr>
        <b/>
        <sz val="11"/>
        <rFont val="Calibri"/>
        <family val="2"/>
        <scheme val="minor"/>
      </rPr>
      <t>Access to university underrepresented groups recruit</t>
    </r>
    <r>
      <rPr>
        <sz val="11"/>
        <rFont val="Calibri"/>
        <family val="2"/>
        <scheme val="minor"/>
      </rPr>
      <t xml:space="preserve">
Take planned actions to recruit students, staff, and faculty from under-represented groups?</t>
    </r>
  </si>
  <si>
    <t>10.6.4</t>
  </si>
  <si>
    <r>
      <rPr>
        <b/>
        <sz val="11"/>
        <color rgb="FF000000"/>
        <rFont val="Calibri"/>
        <family val="2"/>
        <scheme val="minor"/>
      </rPr>
      <t xml:space="preserve">Anti-discrimination policy
</t>
    </r>
    <r>
      <rPr>
        <sz val="11"/>
        <color rgb="FF000000"/>
        <rFont val="Calibri"/>
        <family val="2"/>
        <scheme val="minor"/>
      </rPr>
      <t>Have an anti-discrimination policy that covers the institution and its operations.</t>
    </r>
  </si>
  <si>
    <t>10.6.5</t>
  </si>
  <si>
    <r>
      <rPr>
        <b/>
        <sz val="11"/>
        <rFont val="Calibri"/>
        <family val="2"/>
        <scheme val="minor"/>
      </rPr>
      <t>University diversity officer</t>
    </r>
    <r>
      <rPr>
        <sz val="11"/>
        <rFont val="Calibri"/>
        <family val="2"/>
        <scheme val="minor"/>
      </rPr>
      <t xml:space="preserve">
Have a diversity and equality committee, office or officer (or the equivalent) tasked by the administration or governing body to advise on and implement policies, programmes and trainings related to diversity, equity, inclusion and human rights on campus.</t>
    </r>
  </si>
  <si>
    <t>10.6.6</t>
  </si>
  <si>
    <r>
      <rPr>
        <b/>
        <sz val="11"/>
        <rFont val="Calibri"/>
        <family val="2"/>
        <scheme val="minor"/>
      </rPr>
      <t>Support for underrepresented groups</t>
    </r>
    <r>
      <rPr>
        <sz val="11"/>
        <rFont val="Calibri"/>
        <family val="2"/>
        <scheme val="minor"/>
      </rPr>
      <t xml:space="preserve">
Provide mentoring, counselling, or peer support programmes to support students, staff, and faculty from underrepresented groups.</t>
    </r>
  </si>
  <si>
    <t>10.6.7</t>
  </si>
  <si>
    <r>
      <rPr>
        <b/>
        <sz val="11"/>
        <rFont val="Calibri"/>
        <family val="2"/>
        <scheme val="minor"/>
      </rPr>
      <t>Accessible facilities</t>
    </r>
    <r>
      <rPr>
        <sz val="11"/>
        <rFont val="Calibri"/>
        <family val="2"/>
        <scheme val="minor"/>
      </rPr>
      <t xml:space="preserve">
Provide accessible facilities for people with disabilities.</t>
    </r>
  </si>
  <si>
    <t>10.6.8</t>
  </si>
  <si>
    <r>
      <rPr>
        <b/>
        <sz val="11"/>
        <rFont val="Calibri"/>
        <family val="2"/>
        <scheme val="minor"/>
      </rPr>
      <t>Disability support services</t>
    </r>
    <r>
      <rPr>
        <sz val="11"/>
        <rFont val="Calibri"/>
        <family val="2"/>
        <scheme val="minor"/>
      </rPr>
      <t xml:space="preserve">
Provide support services for people with disabilities.</t>
    </r>
  </si>
  <si>
    <t>10.6.9</t>
  </si>
  <si>
    <r>
      <rPr>
        <b/>
        <sz val="11"/>
        <rFont val="Calibri"/>
        <family val="2"/>
        <scheme val="minor"/>
      </rPr>
      <t xml:space="preserve">Disability access scheme
</t>
    </r>
    <r>
      <rPr>
        <sz val="11"/>
        <rFont val="Calibri"/>
        <family val="2"/>
        <scheme val="minor"/>
      </rPr>
      <t>Provide access schemes for people with disabilities such as mentoring or other targeted support</t>
    </r>
    <r>
      <rPr>
        <b/>
        <sz val="11"/>
        <rFont val="Calibri"/>
        <family val="2"/>
        <scheme val="minor"/>
      </rPr>
      <t xml:space="preserve">   </t>
    </r>
    <r>
      <rPr>
        <sz val="11"/>
        <rFont val="Calibri"/>
        <family val="2"/>
        <scheme val="minor"/>
      </rPr>
      <t xml:space="preserve">
     •Mentoring
     •Other targeted support
     </t>
    </r>
  </si>
  <si>
    <t>10.6.10</t>
  </si>
  <si>
    <r>
      <rPr>
        <b/>
        <sz val="11"/>
        <rFont val="Calibri"/>
        <family val="2"/>
        <scheme val="minor"/>
      </rPr>
      <t>Disability accommodation policy</t>
    </r>
    <r>
      <rPr>
        <sz val="11"/>
        <rFont val="Calibri"/>
        <family val="2"/>
        <scheme val="minor"/>
      </rPr>
      <t xml:space="preserve">
Have reasonable accommodation policy or strategy for people with disabilities including adequate funding</t>
    </r>
  </si>
  <si>
    <t>10.6.11</t>
  </si>
  <si>
    <r>
      <rPr>
        <b/>
        <sz val="11"/>
        <color rgb="FF000000"/>
        <rFont val="Calibri"/>
        <family val="2"/>
        <scheme val="minor"/>
      </rPr>
      <t xml:space="preserve">Anti-harassment policy
</t>
    </r>
    <r>
      <rPr>
        <sz val="11"/>
        <color rgb="FF000000"/>
        <rFont val="Calibri"/>
        <family val="2"/>
        <scheme val="minor"/>
      </rPr>
      <t>Have an anti-harassment policy that covers the institution and its operations</t>
    </r>
  </si>
  <si>
    <t>SDG11: SUSTAINABLE CITIES AND COMMUNITIES</t>
  </si>
  <si>
    <t>Support of arts and heritage</t>
  </si>
  <si>
    <t>11.2.1</t>
  </si>
  <si>
    <r>
      <rPr>
        <b/>
        <sz val="11"/>
        <color rgb="FF000000"/>
        <rFont val="Calibri"/>
        <family val="2"/>
        <scheme val="minor"/>
      </rPr>
      <t xml:space="preserve">Public access to buildings
</t>
    </r>
    <r>
      <rPr>
        <sz val="11"/>
        <color rgb="FF000000"/>
        <rFont val="Calibri"/>
        <family val="2"/>
        <scheme val="minor"/>
      </rPr>
      <t xml:space="preserve">Provide public access to buildings and/or monuments or natural heritage landscapes of cultural significance
     •Free access to all significant buildings
     •Some free access
     •Paid access
     </t>
    </r>
  </si>
  <si>
    <t>11.2.2</t>
  </si>
  <si>
    <r>
      <rPr>
        <b/>
        <sz val="11"/>
        <rFont val="Calibri"/>
        <family val="2"/>
        <scheme val="minor"/>
      </rPr>
      <t xml:space="preserve">Public access to libraries
</t>
    </r>
    <r>
      <rPr>
        <sz val="11"/>
        <rFont val="Calibri"/>
        <family val="2"/>
        <scheme val="minor"/>
      </rPr>
      <t xml:space="preserve">Provide public access to libraries including books and publications
     •Automatic free access to public
     •Access to all after application
     •Access in some circumstances
     </t>
    </r>
  </si>
  <si>
    <t>11.2.3</t>
  </si>
  <si>
    <r>
      <rPr>
        <b/>
        <sz val="11"/>
        <color rgb="FF000000"/>
        <rFont val="Calibri"/>
        <family val="2"/>
        <scheme val="minor"/>
      </rPr>
      <t xml:space="preserve">Public access to museums
</t>
    </r>
    <r>
      <rPr>
        <sz val="11"/>
        <color rgb="FF000000"/>
        <rFont val="Calibri"/>
        <family val="2"/>
        <scheme val="minor"/>
      </rPr>
      <t xml:space="preserve">Provide public access to museums, exhibition spaces or galleries, or works of art and artefacts
     •Free access to all museums and galleries
     •Free access to some
     •Paid access
     </t>
    </r>
  </si>
  <si>
    <t>11.2.4</t>
  </si>
  <si>
    <r>
      <rPr>
        <b/>
        <sz val="11"/>
        <rFont val="Calibri"/>
        <family val="2"/>
        <scheme val="minor"/>
      </rPr>
      <t>Public access to green spaces</t>
    </r>
    <r>
      <rPr>
        <sz val="11"/>
        <rFont val="Calibri"/>
        <family val="2"/>
        <scheme val="minor"/>
      </rPr>
      <t xml:space="preserve">
Provide free public access to open spaces and green spaces
     •Permanent free access
     •Occasional free access
     •Paid access</t>
    </r>
  </si>
  <si>
    <t>11.2.5</t>
  </si>
  <si>
    <r>
      <rPr>
        <b/>
        <sz val="11"/>
        <rFont val="Calibri"/>
        <family val="2"/>
        <scheme val="minor"/>
      </rPr>
      <t>Arts and heritage contribution</t>
    </r>
    <r>
      <rPr>
        <sz val="11"/>
        <rFont val="Calibri"/>
        <family val="2"/>
        <scheme val="minor"/>
      </rPr>
      <t xml:space="preserve">
Contribute to local arts, in terms of number of annual public performances of university choirs, theatre groups, orchestras etc… either ad-hoc or as part of an ongoing programme
     •More than 30 performances
     •More than 15 performances
     •Ad-hoc only
     </t>
    </r>
  </si>
  <si>
    <t>11.2.6</t>
  </si>
  <si>
    <r>
      <rPr>
        <b/>
        <sz val="11"/>
        <rFont val="Calibri"/>
        <family val="2"/>
        <scheme val="minor"/>
      </rPr>
      <t>Record and preserve cultural heritage</t>
    </r>
    <r>
      <rPr>
        <sz val="11"/>
        <rFont val="Calibri"/>
        <family val="2"/>
        <scheme val="minor"/>
      </rPr>
      <t xml:space="preserve">
Deliver projects to record and preserve intangible cultural heritage such as local folklore, traditions, language, and knowledge. This can include the heritage of displaced communities.
     •Local or regional cultural heritage
     •National heritage
     •Heritage of displaced communities
</t>
    </r>
  </si>
  <si>
    <t>Expenditure on arts and heritage</t>
  </si>
  <si>
    <t>11.3.1</t>
  </si>
  <si>
    <t>Arts and heritage expenditure</t>
  </si>
  <si>
    <t>University expenditure on arts and heritage</t>
  </si>
  <si>
    <t>Sustainable practices</t>
  </si>
  <si>
    <t>11.4.1</t>
  </si>
  <si>
    <r>
      <rPr>
        <b/>
        <sz val="11"/>
        <rFont val="Calibri"/>
        <family val="2"/>
        <scheme val="minor"/>
      </rPr>
      <t>Sustainable practices targets</t>
    </r>
    <r>
      <rPr>
        <sz val="11"/>
        <rFont val="Calibri"/>
        <family val="2"/>
        <scheme val="minor"/>
      </rPr>
      <t xml:space="preserve">
Measure and set targets for more sustainable commuting (walking, cycling or other non-motorized transport, vanpools, carpools, shuttlebus or public transportation, motorcycle, scooter or moped, or electric vehicles)</t>
    </r>
  </si>
  <si>
    <t>11.4.2</t>
  </si>
  <si>
    <r>
      <rPr>
        <b/>
        <sz val="11"/>
        <rFont val="Calibri"/>
        <family val="2"/>
        <scheme val="minor"/>
      </rPr>
      <t>Promote sustainable commuting</t>
    </r>
    <r>
      <rPr>
        <sz val="11"/>
        <rFont val="Calibri"/>
        <family val="2"/>
        <scheme val="minor"/>
      </rPr>
      <t xml:space="preserve">
Undertake actions to promote more sustainable commuting </t>
    </r>
  </si>
  <si>
    <t>11.4.3</t>
  </si>
  <si>
    <r>
      <rPr>
        <b/>
        <sz val="11"/>
        <rFont val="Calibri"/>
        <family val="2"/>
        <scheme val="minor"/>
      </rPr>
      <t>Allow remote working</t>
    </r>
    <r>
      <rPr>
        <sz val="11"/>
        <rFont val="Calibri"/>
        <family val="2"/>
        <scheme val="minor"/>
      </rPr>
      <t xml:space="preserve">
Promote or allow telecommuting or remote working for employees as a matter of policy or standard practice, or offer a condensed working week to reduce employee commuting</t>
    </r>
  </si>
  <si>
    <t>11.4.4</t>
  </si>
  <si>
    <r>
      <rPr>
        <b/>
        <sz val="11"/>
        <color rgb="FF000000"/>
        <rFont val="Calibri"/>
        <family val="2"/>
        <scheme val="minor"/>
      </rPr>
      <t xml:space="preserve">Affordable housing for employees
</t>
    </r>
    <r>
      <rPr>
        <sz val="11"/>
        <color rgb="FF000000"/>
        <rFont val="Calibri"/>
        <family val="2"/>
        <scheme val="minor"/>
      </rPr>
      <t xml:space="preserve">Provide affordable housing for employees
     •Evaluating affordability
     •Providing housing directly
     •Providing financial support
</t>
    </r>
  </si>
  <si>
    <t>11.4.5</t>
  </si>
  <si>
    <r>
      <rPr>
        <b/>
        <sz val="11"/>
        <rFont val="Calibri"/>
        <family val="2"/>
        <scheme val="minor"/>
      </rPr>
      <t>Affordable housing for students</t>
    </r>
    <r>
      <rPr>
        <sz val="11"/>
        <rFont val="Calibri"/>
        <family val="2"/>
        <scheme val="minor"/>
      </rPr>
      <t xml:space="preserve">
Provide affordable housing for students</t>
    </r>
  </si>
  <si>
    <t>11.4.6</t>
  </si>
  <si>
    <r>
      <rPr>
        <b/>
        <sz val="11"/>
        <rFont val="Calibri"/>
        <family val="2"/>
        <scheme val="minor"/>
      </rPr>
      <t>Pedestrian priority on campus</t>
    </r>
    <r>
      <rPr>
        <sz val="11"/>
        <rFont val="Calibri"/>
        <family val="2"/>
        <scheme val="minor"/>
      </rPr>
      <t xml:space="preserve">
Prioritise pedestrian access on campus</t>
    </r>
  </si>
  <si>
    <t>11.4.7</t>
  </si>
  <si>
    <r>
      <rPr>
        <b/>
        <sz val="11"/>
        <rFont val="Calibri"/>
        <family val="2"/>
        <scheme val="minor"/>
      </rPr>
      <t>Local authority collab. re: planning redevelopment</t>
    </r>
    <r>
      <rPr>
        <sz val="11"/>
        <rFont val="Calibri"/>
        <family val="2"/>
        <scheme val="minor"/>
      </rPr>
      <t xml:space="preserve">
Work with local authorities to address planning issues and development, including ensuring that local residents are able to access affordable housing</t>
    </r>
  </si>
  <si>
    <t>11.4.8</t>
  </si>
  <si>
    <r>
      <rPr>
        <b/>
        <sz val="11"/>
        <rFont val="Calibri"/>
        <family val="2"/>
        <scheme val="minor"/>
      </rPr>
      <t>Planning development - new build standards</t>
    </r>
    <r>
      <rPr>
        <sz val="11"/>
        <rFont val="Calibri"/>
        <family val="2"/>
        <scheme val="minor"/>
      </rPr>
      <t xml:space="preserve">
Build new buildings to sustainable standards</t>
    </r>
  </si>
  <si>
    <t>11.4.9</t>
  </si>
  <si>
    <r>
      <rPr>
        <b/>
        <sz val="11"/>
        <rFont val="Calibri"/>
        <family val="2"/>
        <scheme val="minor"/>
      </rPr>
      <t>Building on brownfield sites</t>
    </r>
    <r>
      <rPr>
        <sz val="11"/>
        <rFont val="Calibri"/>
        <family val="2"/>
        <scheme val="minor"/>
      </rPr>
      <t xml:space="preserve">
Build on brownfield sites, where possible
</t>
    </r>
  </si>
  <si>
    <t>SDG12: RESPONSIBLE CONSUMPTION AND PRODUCTION</t>
  </si>
  <si>
    <t>Operational measures</t>
  </si>
  <si>
    <t>12.2.1</t>
  </si>
  <si>
    <r>
      <rPr>
        <b/>
        <sz val="11"/>
        <rFont val="Calibri"/>
        <family val="2"/>
        <scheme val="minor"/>
      </rPr>
      <t>Ethical sourcing policy</t>
    </r>
    <r>
      <rPr>
        <sz val="11"/>
        <rFont val="Calibri"/>
        <family val="2"/>
        <scheme val="minor"/>
      </rPr>
      <t xml:space="preserve">
Have a policy on ethical sourcing of food and supplies</t>
    </r>
  </si>
  <si>
    <t>12.2.3</t>
  </si>
  <si>
    <r>
      <rPr>
        <b/>
        <sz val="11"/>
        <rFont val="Calibri"/>
        <family val="2"/>
        <scheme val="minor"/>
      </rPr>
      <t>Policy waste disposal - hazardous materials</t>
    </r>
    <r>
      <rPr>
        <sz val="11"/>
        <rFont val="Calibri"/>
        <family val="2"/>
        <scheme val="minor"/>
      </rPr>
      <t xml:space="preserve">
Have a policy, process or practice  on waste disposal - Covering hazardous materials</t>
    </r>
  </si>
  <si>
    <t>12.2.4</t>
  </si>
  <si>
    <r>
      <rPr>
        <b/>
        <sz val="11"/>
        <rFont val="Calibri"/>
        <family val="2"/>
        <scheme val="minor"/>
      </rPr>
      <t>Policy waste disposal - landfill policy</t>
    </r>
    <r>
      <rPr>
        <sz val="11"/>
        <rFont val="Calibri"/>
        <family val="2"/>
        <scheme val="minor"/>
      </rPr>
      <t xml:space="preserve">
Have a policy on waste disposal - to measure the amount of waste sent to landfill and recycled</t>
    </r>
  </si>
  <si>
    <t>12.2.5</t>
  </si>
  <si>
    <r>
      <rPr>
        <b/>
        <sz val="11"/>
        <rFont val="Calibri"/>
        <family val="2"/>
        <scheme val="minor"/>
      </rPr>
      <t>Policy for minimisation of plastic use</t>
    </r>
    <r>
      <rPr>
        <sz val="11"/>
        <rFont val="Calibri"/>
        <family val="2"/>
        <scheme val="minor"/>
      </rPr>
      <t xml:space="preserve">
Have policies around use minimisation of plastic</t>
    </r>
  </si>
  <si>
    <t>12.2.6</t>
  </si>
  <si>
    <r>
      <rPr>
        <b/>
        <sz val="11"/>
        <rFont val="Calibri"/>
        <family val="2"/>
        <scheme val="minor"/>
      </rPr>
      <t>Policy for minimisation of disposable items</t>
    </r>
    <r>
      <rPr>
        <sz val="11"/>
        <rFont val="Calibri"/>
        <family val="2"/>
        <scheme val="minor"/>
      </rPr>
      <t xml:space="preserve">
Have policies around use minimisation of disposable items</t>
    </r>
  </si>
  <si>
    <t>12.2.7</t>
  </si>
  <si>
    <t>Disposable policy: extensions to services  
Ensuring these policies extend to outsourced services and the supply chain</t>
  </si>
  <si>
    <t>12.2.8</t>
  </si>
  <si>
    <t>Minimisation policies extended to suppliers  
Ensuring these policies extend to outsourced suppliers and the supply chain - (for example suppliers of equipment, stationery, building contracts)</t>
  </si>
  <si>
    <t xml:space="preserve">Proportion of recycled waste </t>
  </si>
  <si>
    <t>12.3.1</t>
  </si>
  <si>
    <r>
      <rPr>
        <b/>
        <sz val="11"/>
        <rFont val="Calibri"/>
        <family val="2"/>
        <scheme val="minor"/>
      </rPr>
      <t>Waste tracking</t>
    </r>
    <r>
      <rPr>
        <sz val="11"/>
        <rFont val="Calibri"/>
        <family val="2"/>
        <scheme val="minor"/>
      </rPr>
      <t xml:space="preserve">
Measure the amount of waste generated and recycled across the university
• Whole university
• Partial measurement</t>
    </r>
  </si>
  <si>
    <t>12.3.2</t>
  </si>
  <si>
    <t>Proportion of waste recycled</t>
  </si>
  <si>
    <t>Amount of waste generated</t>
  </si>
  <si>
    <t>Amount of waste recycled</t>
  </si>
  <si>
    <t>Amount of waste sent to landfill</t>
  </si>
  <si>
    <t>Publication of a sustainability report</t>
  </si>
  <si>
    <t>12.4.1</t>
  </si>
  <si>
    <r>
      <rPr>
        <b/>
        <sz val="11"/>
        <rFont val="Calibri"/>
        <family val="2"/>
        <scheme val="minor"/>
      </rPr>
      <t>Publication of a sustainability report</t>
    </r>
    <r>
      <rPr>
        <sz val="11"/>
        <rFont val="Calibri"/>
        <family val="2"/>
        <scheme val="minor"/>
      </rPr>
      <t xml:space="preserve">
     •Annual 
     •Bi-annual
     •Less Frequent
     </t>
    </r>
  </si>
  <si>
    <t>SDG13: CLIMATE ACTION</t>
  </si>
  <si>
    <t xml:space="preserve">Low-carbon energy use </t>
  </si>
  <si>
    <t>13.2.1</t>
  </si>
  <si>
    <r>
      <rPr>
        <b/>
        <sz val="11"/>
        <rFont val="Calibri"/>
        <family val="2"/>
        <scheme val="minor"/>
      </rPr>
      <t>Low carbon energy tracking</t>
    </r>
    <r>
      <rPr>
        <sz val="11"/>
        <rFont val="Calibri"/>
        <family val="2"/>
        <scheme val="minor"/>
      </rPr>
      <t xml:space="preserve">
Measure the amount of low carbon energy used across the university
•Whole university
•Partial measurement</t>
    </r>
  </si>
  <si>
    <t>13.2.2</t>
  </si>
  <si>
    <t>Environmental education measures</t>
  </si>
  <si>
    <t>13.3.1</t>
  </si>
  <si>
    <r>
      <rPr>
        <b/>
        <sz val="11"/>
        <rFont val="Calibri"/>
        <family val="2"/>
        <scheme val="minor"/>
      </rPr>
      <t>Local education programmes on climate</t>
    </r>
    <r>
      <rPr>
        <sz val="11"/>
        <rFont val="Calibri"/>
        <family val="2"/>
        <scheme val="minor"/>
      </rPr>
      <t xml:space="preserve">
Provide local education programmes or campaigns on climate change risks, impacts, mitigation, adaptation, impact reduction and early warning</t>
    </r>
  </si>
  <si>
    <t>13.3.2</t>
  </si>
  <si>
    <r>
      <rPr>
        <b/>
        <sz val="11"/>
        <rFont val="Calibri"/>
        <family val="2"/>
        <scheme val="minor"/>
      </rPr>
      <t>Climate Action Plan, shared</t>
    </r>
    <r>
      <rPr>
        <sz val="11"/>
        <rFont val="Calibri"/>
        <family val="2"/>
        <scheme val="minor"/>
      </rPr>
      <t xml:space="preserve">
Have a university Climate Action plan, shared with local government and local community groups</t>
    </r>
  </si>
  <si>
    <t>13.3.3</t>
  </si>
  <si>
    <r>
      <rPr>
        <b/>
        <sz val="11"/>
        <rFont val="Calibri"/>
        <family val="2"/>
        <scheme val="minor"/>
      </rPr>
      <t>Co-operative planning for climate change disasters</t>
    </r>
    <r>
      <rPr>
        <sz val="11"/>
        <rFont val="Calibri"/>
        <family val="2"/>
        <scheme val="minor"/>
      </rPr>
      <t xml:space="preserve">
Participate in co-operative planning for climate change disasters, that may include the displacement of people within a country and across borders, working with government 
     •Local
     •Regional
     </t>
    </r>
  </si>
  <si>
    <t>13.3.4</t>
  </si>
  <si>
    <r>
      <rPr>
        <b/>
        <sz val="11"/>
        <rFont val="Calibri"/>
        <family val="2"/>
        <scheme val="minor"/>
      </rPr>
      <t>Inform and support government</t>
    </r>
    <r>
      <rPr>
        <sz val="11"/>
        <rFont val="Calibri"/>
        <family val="2"/>
        <scheme val="minor"/>
      </rPr>
      <t xml:space="preserve">
Inform and support local or regional government in local climate change disaster or risk early warning and monitoring</t>
    </r>
  </si>
  <si>
    <t>13.3.5</t>
  </si>
  <si>
    <r>
      <rPr>
        <b/>
        <sz val="11"/>
        <rFont val="Calibri"/>
        <family val="2"/>
        <scheme val="minor"/>
      </rPr>
      <t>Environmental education collaborate with NGO</t>
    </r>
    <r>
      <rPr>
        <sz val="11"/>
        <rFont val="Calibri"/>
        <family val="2"/>
        <scheme val="minor"/>
      </rPr>
      <t xml:space="preserve">
Collaborate with NGOs on climate adaptation</t>
    </r>
  </si>
  <si>
    <t xml:space="preserve">Commitment to carbon neutral university </t>
  </si>
  <si>
    <t>13.4.1</t>
  </si>
  <si>
    <r>
      <t xml:space="preserve">Commitment to carbon neutral university
</t>
    </r>
    <r>
      <rPr>
        <sz val="11"/>
        <rFont val="Calibri"/>
        <family val="2"/>
        <scheme val="minor"/>
      </rPr>
      <t xml:space="preserve">Have a target date by which it will become carbon neutral according to the Greenhouse Gas Protocols?
•	scope 1
•	scope 1 and 2 
•	Scope 1, 2 and 3 (partial)
•	Scope 1, 2 and 3 (full)
</t>
    </r>
  </si>
  <si>
    <t>13.4.2</t>
  </si>
  <si>
    <t>Achieve by date</t>
  </si>
  <si>
    <t>Achieve by
•	Date for achieved prior to 2023 – 4 points
•	Date for achieved by: 2023-2029 – 3 points
•	Date for achieved by: 2030-2039 – 2 points
•	Date for achieved by: 2040-2049 – 1 point
•	Date for achieved by: 2050 or later – 0.5</t>
  </si>
  <si>
    <t xml:space="preserve">SDG14: LIFE BELOW WATER </t>
  </si>
  <si>
    <t>Supporting aquatic ecosystems through education</t>
  </si>
  <si>
    <t>14.2.1</t>
  </si>
  <si>
    <r>
      <rPr>
        <b/>
        <sz val="11"/>
        <rFont val="Calibri"/>
        <family val="2"/>
        <scheme val="minor"/>
      </rPr>
      <t>Fresh-water ecosystems (community outreach)</t>
    </r>
    <r>
      <rPr>
        <sz val="11"/>
        <rFont val="Calibri"/>
        <family val="2"/>
        <scheme val="minor"/>
      </rPr>
      <t xml:space="preserve">
Offer educational programmes on fresh-water ecosystems (water irrigation practices, water management/conservation) for local or national communities
     •Free
     •Paid
     </t>
    </r>
  </si>
  <si>
    <t>14.2.2</t>
  </si>
  <si>
    <r>
      <rPr>
        <b/>
        <sz val="11"/>
        <rFont val="Calibri"/>
        <family val="2"/>
        <scheme val="minor"/>
      </rPr>
      <t>Sustainable fisheries (community outreach)</t>
    </r>
    <r>
      <rPr>
        <sz val="11"/>
        <rFont val="Calibri"/>
        <family val="2"/>
        <scheme val="minor"/>
      </rPr>
      <t xml:space="preserve">
Offer educational programme or outreach for local or national communities on sustainable management of fisheries, aquaculture and tourism
     •Free
     •Paid
     </t>
    </r>
  </si>
  <si>
    <t>14.2.3</t>
  </si>
  <si>
    <r>
      <rPr>
        <b/>
        <sz val="11"/>
        <rFont val="Calibri"/>
        <family val="2"/>
        <scheme val="minor"/>
      </rPr>
      <t xml:space="preserve">Overfishing (community outreach)
</t>
    </r>
    <r>
      <rPr>
        <sz val="11"/>
        <rFont val="Calibri"/>
        <family val="2"/>
        <scheme val="minor"/>
      </rPr>
      <t xml:space="preserve">Offer educational outreach activities for local or national communities to raise awareness about overfishing, illegal, unreported and unregulated fishing and destructive fishing practices
     •Free
     •Paid
     </t>
    </r>
  </si>
  <si>
    <t>Supporting aquatic ecosystems through action</t>
  </si>
  <si>
    <t>14.3.1</t>
  </si>
  <si>
    <r>
      <rPr>
        <b/>
        <sz val="11"/>
        <rFont val="Calibri"/>
        <family val="2"/>
        <scheme val="minor"/>
      </rPr>
      <t xml:space="preserve">Conservation and sustainable utilisation of the oceans (events)
</t>
    </r>
    <r>
      <rPr>
        <sz val="11"/>
        <rFont val="Calibri"/>
        <family val="2"/>
        <scheme val="minor"/>
      </rPr>
      <t xml:space="preserve">Support or organise events aimed to promote conservation and sustainable utilisation of the oceans, seas, lakes, rivers and marine resources
</t>
    </r>
  </si>
  <si>
    <t>14.3.2</t>
  </si>
  <si>
    <r>
      <rPr>
        <b/>
        <sz val="11"/>
        <rFont val="Calibri"/>
        <family val="2"/>
        <scheme val="minor"/>
      </rPr>
      <t xml:space="preserve">Food from aquatic ecosystems (policies)
</t>
    </r>
    <r>
      <rPr>
        <sz val="11"/>
        <rFont val="Calibri"/>
        <family val="2"/>
        <scheme val="minor"/>
      </rPr>
      <t xml:space="preserve">Have a policy to ensure that food on campus that comes from aquatic ecosystems is sustainably harvested
</t>
    </r>
  </si>
  <si>
    <t>14.3.3</t>
  </si>
  <si>
    <r>
      <rPr>
        <b/>
        <sz val="11"/>
        <rFont val="Calibri"/>
        <family val="2"/>
        <scheme val="minor"/>
      </rPr>
      <t xml:space="preserve">Maintain ecosystems and their biodiversity (direct work)
</t>
    </r>
    <r>
      <rPr>
        <sz val="11"/>
        <rFont val="Calibri"/>
        <family val="2"/>
        <scheme val="minor"/>
      </rPr>
      <t xml:space="preserve">Work directly (research and/or engagement with industries) to maintain and extend existing ecosystems and their biodiversity, of both plants and animals, especially ecosystems under threat
</t>
    </r>
  </si>
  <si>
    <t>14.3.4</t>
  </si>
  <si>
    <r>
      <rPr>
        <b/>
        <sz val="11"/>
        <rFont val="Calibri"/>
        <family val="2"/>
        <scheme val="minor"/>
      </rPr>
      <t>Technologies towards aquatic ecosystem damage prevention (direct work)</t>
    </r>
    <r>
      <rPr>
        <sz val="11"/>
        <rFont val="Calibri"/>
        <family val="2"/>
        <scheme val="minor"/>
      </rPr>
      <t xml:space="preserve">
Work directly (research and/or engagement with industries) on technologies or practices that enable marine industry to minimise or prevent damage to aquatic ecosystems</t>
    </r>
  </si>
  <si>
    <t>Water sensitive waste disposal</t>
  </si>
  <si>
    <t>14.4.1</t>
  </si>
  <si>
    <r>
      <rPr>
        <b/>
        <sz val="11"/>
        <rFont val="Calibri"/>
        <family val="2"/>
        <scheme val="minor"/>
      </rPr>
      <t>Water discharge guidelines and standards</t>
    </r>
    <r>
      <rPr>
        <sz val="11"/>
        <rFont val="Calibri"/>
        <family val="2"/>
        <scheme val="minor"/>
      </rPr>
      <t xml:space="preserve">
Have water quality standards and guidelines for water discharges (to uphold water quality in order to protect ecosystems, wildlife, and human health and welfare)</t>
    </r>
  </si>
  <si>
    <t>14.4.2</t>
  </si>
  <si>
    <r>
      <rPr>
        <b/>
        <sz val="11"/>
        <rFont val="Calibri"/>
        <family val="2"/>
        <scheme val="minor"/>
      </rPr>
      <t xml:space="preserve">Action plan to reducing plastic waste
</t>
    </r>
    <r>
      <rPr>
        <sz val="11"/>
        <rFont val="Calibri"/>
        <family val="2"/>
        <scheme val="minor"/>
      </rPr>
      <t xml:space="preserve">Have an action plan in place to reduce plastic waste on campus
</t>
    </r>
  </si>
  <si>
    <t>14.4.3</t>
  </si>
  <si>
    <r>
      <rPr>
        <b/>
        <sz val="11"/>
        <rFont val="Calibri"/>
        <family val="2"/>
        <scheme val="minor"/>
      </rPr>
      <t>Reducing marine pollution (policy)</t>
    </r>
    <r>
      <rPr>
        <sz val="11"/>
        <rFont val="Calibri"/>
        <family val="2"/>
        <scheme val="minor"/>
      </rPr>
      <t xml:space="preserve">
Have a policy on preventing and reducing marine pollution of all kinds, in particular from land-based activities</t>
    </r>
  </si>
  <si>
    <t>Maintaining a local ecosystem</t>
  </si>
  <si>
    <t>14.5.1</t>
  </si>
  <si>
    <r>
      <rPr>
        <b/>
        <sz val="11"/>
        <rFont val="Calibri"/>
        <family val="2"/>
        <scheme val="minor"/>
      </rPr>
      <t>Minimizing alteration of aquatic ecosystems (plan)</t>
    </r>
    <r>
      <rPr>
        <sz val="11"/>
        <rFont val="Calibri"/>
        <family val="2"/>
        <scheme val="minor"/>
      </rPr>
      <t xml:space="preserve">
Have a plan to minimise physical, chemical and biological alterations of related aquatic ecosystems</t>
    </r>
  </si>
  <si>
    <t>14.5.2</t>
  </si>
  <si>
    <r>
      <rPr>
        <b/>
        <sz val="11"/>
        <rFont val="Calibri"/>
        <family val="2"/>
        <scheme val="minor"/>
      </rPr>
      <t>Monitoring the health of aquatic ecosystems</t>
    </r>
    <r>
      <rPr>
        <sz val="11"/>
        <rFont val="Calibri"/>
        <family val="2"/>
        <scheme val="minor"/>
      </rPr>
      <t xml:space="preserve">
Monitor the health of aquatic ecosystems</t>
    </r>
  </si>
  <si>
    <t>14.5.3</t>
  </si>
  <si>
    <r>
      <rPr>
        <b/>
        <sz val="11"/>
        <rFont val="Calibri"/>
        <family val="2"/>
        <scheme val="minor"/>
      </rPr>
      <t>Programmes towards good aquatic stewardship practices</t>
    </r>
    <r>
      <rPr>
        <sz val="11"/>
        <rFont val="Calibri"/>
        <family val="2"/>
        <scheme val="minor"/>
      </rPr>
      <t xml:space="preserve">
Develop and support programmes and incentives that encourage and maintain good aquatic stewardship practices
     •Ad hoc 
     •On-going
     </t>
    </r>
  </si>
  <si>
    <t>14.5.4</t>
  </si>
  <si>
    <r>
      <rPr>
        <b/>
        <sz val="11"/>
        <rFont val="Calibri"/>
        <family val="2"/>
        <scheme val="minor"/>
      </rPr>
      <t>Collaboration for shared aquatic ecosystems</t>
    </r>
    <r>
      <rPr>
        <sz val="11"/>
        <rFont val="Calibri"/>
        <family val="2"/>
        <scheme val="minor"/>
      </rPr>
      <t xml:space="preserve">
Collaborate with the local community in efforts to maintain shared aquatic ecosystems</t>
    </r>
  </si>
  <si>
    <t>14.5.5</t>
  </si>
  <si>
    <r>
      <rPr>
        <b/>
        <sz val="11"/>
        <rFont val="Calibri"/>
        <family val="2"/>
        <scheme val="minor"/>
      </rPr>
      <t>Watershed management strategy</t>
    </r>
    <r>
      <rPr>
        <sz val="11"/>
        <rFont val="Calibri"/>
        <family val="2"/>
        <scheme val="minor"/>
      </rPr>
      <t xml:space="preserve">
Have implemented a watershed management strategy based on location specific diversity of aquatic species</t>
    </r>
  </si>
  <si>
    <t xml:space="preserve">SDG15: LIFE ON LAND </t>
  </si>
  <si>
    <t>Supporting land ecosystems through education</t>
  </si>
  <si>
    <t>15.2.1</t>
  </si>
  <si>
    <r>
      <rPr>
        <b/>
        <sz val="11"/>
        <rFont val="Calibri"/>
        <family val="2"/>
        <scheme val="minor"/>
      </rPr>
      <t>Events about sustainable use of land</t>
    </r>
    <r>
      <rPr>
        <sz val="11"/>
        <rFont val="Calibri"/>
        <family val="2"/>
        <scheme val="minor"/>
      </rPr>
      <t xml:space="preserve">
Support or organise events aimed to promote conservation and sustainable utilisation of the land, including forests and wild land</t>
    </r>
  </si>
  <si>
    <t>15.2.2</t>
  </si>
  <si>
    <r>
      <rPr>
        <b/>
        <sz val="11"/>
        <rFont val="Calibri"/>
        <family val="2"/>
        <scheme val="minor"/>
      </rPr>
      <t>Sustainably farmed food on campus</t>
    </r>
    <r>
      <rPr>
        <sz val="11"/>
        <rFont val="Calibri"/>
        <family val="2"/>
        <scheme val="minor"/>
      </rPr>
      <t xml:space="preserve">
Have policies to ensure that food on campus is sustainably farmed</t>
    </r>
  </si>
  <si>
    <t>15.2.3</t>
  </si>
  <si>
    <r>
      <rPr>
        <b/>
        <sz val="11"/>
        <rFont val="Calibri"/>
        <family val="2"/>
        <scheme val="minor"/>
      </rPr>
      <t>Maintain and extend current ecosystems' biodiversity</t>
    </r>
    <r>
      <rPr>
        <sz val="11"/>
        <rFont val="Calibri"/>
        <family val="2"/>
        <scheme val="minor"/>
      </rPr>
      <t xml:space="preserve">
Work directly to maintain and extend existing ecosystems and their biodiversity, of both plants and animals, especially ecosystems under threat</t>
    </r>
  </si>
  <si>
    <t>15.2.4</t>
  </si>
  <si>
    <r>
      <rPr>
        <b/>
        <sz val="11"/>
        <rFont val="Calibri"/>
        <family val="2"/>
        <scheme val="minor"/>
      </rPr>
      <t>Educational programmes on ecosystems</t>
    </r>
    <r>
      <rPr>
        <sz val="11"/>
        <rFont val="Calibri"/>
        <family val="2"/>
        <scheme val="minor"/>
      </rPr>
      <t xml:space="preserve">
Offer educational programmes on ecosystems (looking at wild flora and fauna) for local or national communities? 
     •Free
     •Paid
     </t>
    </r>
  </si>
  <si>
    <t>15.2.5</t>
  </si>
  <si>
    <r>
      <rPr>
        <b/>
        <sz val="11"/>
        <rFont val="Calibri"/>
        <family val="2"/>
        <scheme val="minor"/>
      </rPr>
      <t>Sustainable management of land for agriculture (educational outreach)</t>
    </r>
    <r>
      <rPr>
        <sz val="11"/>
        <rFont val="Calibri"/>
        <family val="2"/>
        <scheme val="minor"/>
      </rPr>
      <t xml:space="preserve">
Offer educational programme/outreach for local or national communities on sustainable management of land for agriculture
     •Free
     •Paid
     </t>
    </r>
  </si>
  <si>
    <t>15.2.6</t>
  </si>
  <si>
    <r>
      <rPr>
        <b/>
        <sz val="11"/>
        <rFont val="Calibri"/>
        <family val="2"/>
        <scheme val="minor"/>
      </rPr>
      <t>Sustainable management of land for tourism (educational outreach)</t>
    </r>
    <r>
      <rPr>
        <sz val="11"/>
        <rFont val="Calibri"/>
        <family val="2"/>
        <scheme val="minor"/>
      </rPr>
      <t xml:space="preserve">
Offer educational programme/outreach for local or national communities on sustainable management of land for tourism
     •Free
     •Paid
     </t>
    </r>
  </si>
  <si>
    <t>Supporting land ecosystems through action</t>
  </si>
  <si>
    <t>15.3.1</t>
  </si>
  <si>
    <r>
      <rPr>
        <b/>
        <sz val="11"/>
        <rFont val="Calibri"/>
        <family val="2"/>
        <scheme val="minor"/>
      </rPr>
      <t>Sustainable use, conservation and restoration of land (policy)</t>
    </r>
    <r>
      <rPr>
        <sz val="11"/>
        <rFont val="Calibri"/>
        <family val="2"/>
        <scheme val="minor"/>
      </rPr>
      <t xml:space="preserve">
Have a policy to ensure the conservation, restoration and sustainable use of terrestrial ecosystems associated with the university, in particular forests, mountains and drylands</t>
    </r>
  </si>
  <si>
    <t>15.3.2</t>
  </si>
  <si>
    <r>
      <rPr>
        <b/>
        <sz val="11"/>
        <rFont val="Calibri"/>
        <family val="2"/>
        <scheme val="minor"/>
      </rPr>
      <t>Monitoring IUCN and other conservation species (policies)</t>
    </r>
    <r>
      <rPr>
        <sz val="11"/>
        <rFont val="Calibri"/>
        <family val="2"/>
        <scheme val="minor"/>
      </rPr>
      <t xml:space="preserve">
Have a policy to identify, monitor and protect any IUCN Red Listed species and national conservation list species with habits in areas affected by the operation of your university</t>
    </r>
  </si>
  <si>
    <t>15.3.3</t>
  </si>
  <si>
    <r>
      <rPr>
        <b/>
        <sz val="11"/>
        <rFont val="Calibri"/>
        <family val="2"/>
        <scheme val="minor"/>
      </rPr>
      <t>Local biodiversity included in planning and development</t>
    </r>
    <r>
      <rPr>
        <sz val="11"/>
        <rFont val="Calibri"/>
        <family val="2"/>
        <scheme val="minor"/>
      </rPr>
      <t xml:space="preserve">
Include local biodiversity into any planning and development process (e.g. construction of new buildings) </t>
    </r>
  </si>
  <si>
    <t>15.3.4</t>
  </si>
  <si>
    <r>
      <rPr>
        <b/>
        <sz val="11"/>
        <rFont val="Calibri"/>
        <family val="2"/>
        <scheme val="minor"/>
      </rPr>
      <t>Alien species impact reduction (policies)</t>
    </r>
    <r>
      <rPr>
        <sz val="11"/>
        <rFont val="Calibri"/>
        <family val="2"/>
        <scheme val="minor"/>
      </rPr>
      <t xml:space="preserve">
Have a policy to reduce the impact of alien species on campus</t>
    </r>
  </si>
  <si>
    <t>15.3.5</t>
  </si>
  <si>
    <r>
      <rPr>
        <b/>
        <sz val="11"/>
        <rFont val="Calibri"/>
        <family val="2"/>
        <scheme val="minor"/>
      </rPr>
      <t>Collaboration for shared land ecosystems</t>
    </r>
    <r>
      <rPr>
        <sz val="11"/>
        <rFont val="Calibri"/>
        <family val="2"/>
        <scheme val="minor"/>
      </rPr>
      <t xml:space="preserve">
Collaborate with the local community to maintain shared land ecosystems</t>
    </r>
  </si>
  <si>
    <t>Land sensitive waste disposal</t>
  </si>
  <si>
    <t>15.4.1</t>
  </si>
  <si>
    <t>15.4.2</t>
  </si>
  <si>
    <r>
      <rPr>
        <b/>
        <sz val="11"/>
        <rFont val="Calibri"/>
        <family val="2"/>
        <scheme val="minor"/>
      </rPr>
      <t>Policy on plastic waste reduction</t>
    </r>
    <r>
      <rPr>
        <sz val="11"/>
        <rFont val="Calibri"/>
        <family val="2"/>
        <scheme val="minor"/>
      </rPr>
      <t xml:space="preserve">
Have a policy on reducing plastic waste on campus</t>
    </r>
  </si>
  <si>
    <t>15.4.3</t>
  </si>
  <si>
    <r>
      <rPr>
        <b/>
        <sz val="11"/>
        <rFont val="Calibri"/>
        <family val="2"/>
        <scheme val="minor"/>
      </rPr>
      <t>Policy on hazardous waste disposal</t>
    </r>
    <r>
      <rPr>
        <sz val="11"/>
        <rFont val="Calibri"/>
        <family val="2"/>
        <scheme val="minor"/>
      </rPr>
      <t xml:space="preserve">
Have a policy, process or practice  on waste disposal covering hazardous materials</t>
    </r>
  </si>
  <si>
    <t>SDG16: PEACE, JUSTICE AND STRONG INSTITUTIONS</t>
  </si>
  <si>
    <t>University governance measures</t>
  </si>
  <si>
    <t>16.2.1</t>
  </si>
  <si>
    <r>
      <rPr>
        <b/>
        <sz val="11"/>
        <rFont val="Calibri"/>
        <family val="2"/>
        <scheme val="minor"/>
      </rPr>
      <t>Elected representation</t>
    </r>
    <r>
      <rPr>
        <sz val="11"/>
        <rFont val="Calibri"/>
        <family val="2"/>
        <scheme val="minor"/>
      </rPr>
      <t xml:space="preserve">
Have elected representation on the university’s highest governing body from: students (both undergraduate and graduate), faculty, and staff (non-faculty employees):
    •students (both undergraduate and graduate) 
    •faculty 
    •staff (non-faculty employees)
    </t>
    </r>
  </si>
  <si>
    <t>16.2.2</t>
  </si>
  <si>
    <r>
      <rPr>
        <b/>
        <sz val="11"/>
        <rFont val="Calibri"/>
        <family val="2"/>
        <scheme val="minor"/>
      </rPr>
      <t>Students' union</t>
    </r>
    <r>
      <rPr>
        <sz val="11"/>
        <rFont val="Calibri"/>
        <family val="2"/>
        <scheme val="minor"/>
      </rPr>
      <t xml:space="preserve">
Recognise an independent students’ union
    •Union providing governance input
    •Union support for students
    •Union providing social activities</t>
    </r>
  </si>
  <si>
    <t>16.2.3</t>
  </si>
  <si>
    <r>
      <rPr>
        <b/>
        <sz val="11"/>
        <rFont val="Calibri"/>
        <family val="2"/>
        <scheme val="minor"/>
      </rPr>
      <t>Identify and engage with local stakeholders</t>
    </r>
    <r>
      <rPr>
        <sz val="11"/>
        <rFont val="Calibri"/>
        <family val="2"/>
        <scheme val="minor"/>
      </rPr>
      <t xml:space="preserve">
Have written policies and procedures to identify local stakeholders external to the university and engage with them</t>
    </r>
  </si>
  <si>
    <t>16.2.4</t>
  </si>
  <si>
    <r>
      <rPr>
        <b/>
        <sz val="11"/>
        <rFont val="Calibri"/>
        <family val="2"/>
        <scheme val="minor"/>
      </rPr>
      <t>Participatory bodies for stakeholder engagement</t>
    </r>
    <r>
      <rPr>
        <sz val="11"/>
        <rFont val="Calibri"/>
        <family val="2"/>
        <scheme val="minor"/>
      </rPr>
      <t xml:space="preserve">
Have an existence of participatory bodies to recognize and engage local stakeholders, including local residents, local government, local private, local civil society representatives</t>
    </r>
  </si>
  <si>
    <t>16.2.5</t>
  </si>
  <si>
    <r>
      <rPr>
        <b/>
        <sz val="11"/>
        <rFont val="Calibri"/>
        <family val="2"/>
        <scheme val="minor"/>
      </rPr>
      <t>University principles on corruption and bribery</t>
    </r>
    <r>
      <rPr>
        <sz val="11"/>
        <rFont val="Calibri"/>
        <family val="2"/>
        <scheme val="minor"/>
      </rPr>
      <t xml:space="preserve">
Publish the university's principles and commitments on organized crime, corruption &amp; bribery</t>
    </r>
  </si>
  <si>
    <t>16.2.6</t>
  </si>
  <si>
    <r>
      <rPr>
        <b/>
        <sz val="11"/>
        <rFont val="Calibri"/>
        <family val="2"/>
        <scheme val="minor"/>
      </rPr>
      <t>Academic freedom policy</t>
    </r>
    <r>
      <rPr>
        <sz val="11"/>
        <rFont val="Calibri"/>
        <family val="2"/>
        <scheme val="minor"/>
      </rPr>
      <t xml:space="preserve">
Have a policy on supporting academic freedom (freedom to choose areas of research and to speak and teach publicly about the area of their research)
    •Research freedom for senior academics
    •Research freedom for junior academics
    •Teaching freedom for senior academics
    •Teaching freedom for junior academics
</t>
    </r>
  </si>
  <si>
    <t>16.2.7</t>
  </si>
  <si>
    <r>
      <rPr>
        <b/>
        <sz val="11"/>
        <rFont val="Calibri"/>
        <family val="2"/>
        <scheme val="minor"/>
      </rPr>
      <t xml:space="preserve">Publish financial data   </t>
    </r>
    <r>
      <rPr>
        <sz val="11"/>
        <rFont val="Calibri"/>
        <family val="2"/>
        <scheme val="minor"/>
      </rPr>
      <t xml:space="preserve">
Publish university financial data
     </t>
    </r>
  </si>
  <si>
    <t>Working with government</t>
  </si>
  <si>
    <t>16.3.1</t>
  </si>
  <si>
    <r>
      <rPr>
        <b/>
        <sz val="11"/>
        <rFont val="Calibri"/>
        <family val="2"/>
        <scheme val="minor"/>
      </rPr>
      <t xml:space="preserve">Provide expert advice to government </t>
    </r>
    <r>
      <rPr>
        <sz val="11"/>
        <rFont val="Calibri"/>
        <family val="2"/>
        <scheme val="minor"/>
      </rPr>
      <t xml:space="preserve">
Provide specific expert advice to local, regional or national government (for example through policy guidance, participation in committees, provision of evidence)
    •Local
    •Regional
    •National
    </t>
    </r>
  </si>
  <si>
    <t>16.3.2</t>
  </si>
  <si>
    <r>
      <rPr>
        <b/>
        <sz val="11"/>
        <rFont val="Calibri"/>
        <family val="2"/>
        <scheme val="minor"/>
      </rPr>
      <t>Policy- and lawmakers outreach and education</t>
    </r>
    <r>
      <rPr>
        <sz val="11"/>
        <rFont val="Calibri"/>
        <family val="2"/>
        <scheme val="minor"/>
      </rPr>
      <t xml:space="preserve">
Provide outreach, general education, upskilling and capacity-building to policy and lawmakers on relevant topics including economics, law, technology, migration and displacement and climate change</t>
    </r>
  </si>
  <si>
    <t>16.3.3</t>
  </si>
  <si>
    <r>
      <rPr>
        <b/>
        <sz val="11"/>
        <rFont val="Calibri"/>
        <family val="2"/>
        <scheme val="minor"/>
      </rPr>
      <t>Participation in government research</t>
    </r>
    <r>
      <rPr>
        <sz val="11"/>
        <rFont val="Calibri"/>
        <family val="2"/>
        <scheme val="minor"/>
      </rPr>
      <t xml:space="preserve">
Undertake policy-focused research in collaboration with government departments</t>
    </r>
  </si>
  <si>
    <t>16.3.4</t>
  </si>
  <si>
    <r>
      <rPr>
        <b/>
        <sz val="11"/>
        <rFont val="Calibri"/>
        <family val="2"/>
        <scheme val="minor"/>
      </rPr>
      <t>Neutral platform to discuss issues</t>
    </r>
    <r>
      <rPr>
        <sz val="11"/>
        <rFont val="Calibri"/>
        <family val="2"/>
        <scheme val="minor"/>
      </rPr>
      <t xml:space="preserve">
Provide a neutral platform and ‘safe’ space for different political stakeholders to come together to frankly discuss challenges</t>
    </r>
  </si>
  <si>
    <t>Proportion of graduates in law and civil enforcement</t>
  </si>
  <si>
    <t>16.4.1</t>
  </si>
  <si>
    <t>Proportion of graduates in law</t>
  </si>
  <si>
    <t>Number of graduates from law and enforcement related courses</t>
  </si>
  <si>
    <t>Type</t>
  </si>
  <si>
    <t>Value 
(for continuous data)</t>
  </si>
  <si>
    <t>Yes/No</t>
  </si>
  <si>
    <t>Evidence1</t>
  </si>
  <si>
    <t>Public (Yes/No)</t>
  </si>
  <si>
    <t>Metric</t>
  </si>
  <si>
    <t>Indicator</t>
  </si>
  <si>
    <t>Students receiving financial aid</t>
  </si>
  <si>
    <t>Bottom financial quintile admission target
Targets to admit students who fall into the bottom 20% of household income group (or a more tightly defined target) in the country.</t>
  </si>
  <si>
    <t>no</t>
  </si>
  <si>
    <t>Bottom financial quintile student success
Graduation/completion targets for students who fall into the bottom 20% of household income group (or a more tightly defined target) in the country.</t>
  </si>
  <si>
    <t>yes</t>
  </si>
  <si>
    <t>URL</t>
  </si>
  <si>
    <t xml:space="preserve">Low-income student support
Provide support (e.g. food, housing, transportation, legal services) for students from low income families to enable them to complete university.
   </t>
  </si>
  <si>
    <t>free</t>
  </si>
  <si>
    <t>subsidised</t>
  </si>
  <si>
    <t>Bottom financial quintile student support
Programmes or initiatives to assist students who fall into the bottom 20% of household income group (or a more tightly defined target) in the country to successfully complete their studies.</t>
  </si>
  <si>
    <t>Low or lower-middle income countries student support
Schemes to support poor students from low or lower-middle income countries (e.g. offering free education, grants).</t>
  </si>
  <si>
    <t xml:space="preserve">Local start-up assistance
Provide assistance in the local community supporting the start-up of sustainable businesses through relevant education or resources (e.g. mentorship programmes, training workshops, access to university facilities).
     </t>
  </si>
  <si>
    <t>paid</t>
  </si>
  <si>
    <t>Local start-up financial assistance
Provide financial assistance to the local community supporting the start-up of sustainable businesses.</t>
  </si>
  <si>
    <t xml:space="preserve">URL </t>
  </si>
  <si>
    <t xml:space="preserve">Programmes for services access
Organise training or programmes to improve access to basic services for all.
      </t>
  </si>
  <si>
    <t>directly</t>
  </si>
  <si>
    <t xml:space="preserve">pdf report </t>
  </si>
  <si>
    <t>indirectly</t>
  </si>
  <si>
    <t xml:space="preserve">Policy addressing poverty
Participate in policy making at local, regional, national and/or global level to implement programmes and policies to end poverty in all its dimensions.
    </t>
  </si>
  <si>
    <t>local</t>
  </si>
  <si>
    <t>regional</t>
  </si>
  <si>
    <t>national</t>
  </si>
  <si>
    <t>global</t>
  </si>
  <si>
    <t>SDG1: No Poverty</t>
  </si>
  <si>
    <t xml:space="preserve">Local start-up assistance
Provide assistance in the local community supporting the start-up of financially and socially  sustainable businesses through relevant education or resources (e.g. mentorship programmes, training workshops, access to university facilities).
     </t>
  </si>
  <si>
    <t>Local start-up financial assistance
Provide financial assistance to the local community supporting the start-up of financially and socially sustainable businesses.</t>
  </si>
  <si>
    <t>SDG2: Zero Hunger</t>
  </si>
  <si>
    <t xml:space="preserve">Campus food waste tracking
Measure the amount of food waste generated from food served within the university. </t>
  </si>
  <si>
    <t>whole university</t>
  </si>
  <si>
    <t>partial measurement</t>
  </si>
  <si>
    <t>Student food insecurity and hunger
Have a programme in place on student food insecurity.</t>
  </si>
  <si>
    <t>Students hunger interventions
Provide interventions to prevent or alleviate hunger among students (e.g. including supply and access to food banks/pantries)._x000D_</t>
  </si>
  <si>
    <t>Sustainable food choices on campus 
Provide sustainable food choices for all on campus, including vegetarian and vegan food.</t>
  </si>
  <si>
    <t>all food outlets</t>
  </si>
  <si>
    <t>selected food outlets</t>
  </si>
  <si>
    <t>Healthy and affordable food choices
Provide healthy and affordable food choices for all on campus.</t>
  </si>
  <si>
    <t>Staff hunger interventions
Provide interventions to prevent or alleviate hunger among members of staff (e.g. including supply and access to food banks/pantries).</t>
  </si>
  <si>
    <t>Proportion of graduates in agriculture and aquaculture including sustainability aspects</t>
  </si>
  <si>
    <t>Access to food security knowledge 
Provide access on food security and sustainable agriculture and aquaculture knowledge, skills or technology to local farmers and food producers.</t>
  </si>
  <si>
    <t>Events for local farmers and food producers
Provide events for local farmers and food producers to connect and transfer knowledge</t>
  </si>
  <si>
    <t>University access to local farmers and food producers
Provide access to university facilities (e.g. labs, technology, plant stocks) to local farmers and food producers to improve sustainable farming practices.</t>
  </si>
  <si>
    <t>Sustainable food purchases
Prioritise purchase of products from local, sustainable sources.</t>
  </si>
  <si>
    <t>SDG3: Good Health and Well-being</t>
  </si>
  <si>
    <t xml:space="preserve">Metric / Indicator </t>
  </si>
  <si>
    <t>Metrica / Indicado Este año solicitamos información del año académico 2024.</t>
  </si>
  <si>
    <t>Fuente datos UDES</t>
  </si>
  <si>
    <t>Comentarios" con una longitud máxima de 1000 caracteres</t>
  </si>
  <si>
    <t xml:space="preserve">Número de graduados en profesiones de la salud </t>
  </si>
  <si>
    <t>Analitica</t>
  </si>
  <si>
    <t>Proporción de graduados en profesiones de la salud</t>
  </si>
  <si>
    <t>Número de graduados</t>
  </si>
  <si>
    <t>Número de graduados en profesiones de la salud</t>
  </si>
  <si>
    <t>Colaboraciones y servicios sanitarios</t>
  </si>
  <si>
    <t>Convenios
V Extensión
Masira - PURE red de aliandos (DRNI)</t>
  </si>
  <si>
    <t>Current collaborations with health institutions
Have current collaborations with local, national, or global health institutions to improve health and well-being outcomes.</t>
  </si>
  <si>
    <t>Colaboraciones actuales con instituciones de salud 
Tener colaboraciones actuales con instituciones de salud locales, nacionales o globales para mejorar los resultados de salud y bienestar.</t>
  </si>
  <si>
    <t>local collaboration</t>
  </si>
  <si>
    <t>Colaboración local</t>
  </si>
  <si>
    <t>national collaboration</t>
  </si>
  <si>
    <t>colaboración nacional</t>
  </si>
  <si>
    <t>global cooperation</t>
  </si>
  <si>
    <t>Cooperación global</t>
  </si>
  <si>
    <t>Health outreach programmes
Deliver outreach programmes and projects in the local community (which can include student volunteering programmes) to improve or promote health and well-being including hygiene, nutrition, family planning, sports, exercise, aging well, and other health and well-being related topics. 
This can also include outreach programmes to displaced or refugee communities local to the institution.</t>
  </si>
  <si>
    <t>Programas de extensión sanitaria
Ofrecer programas y proyectos de divulgación en la comunidad local (que pueden incluir programas de voluntariado estudiantil) para mejorar o promover la salud y el bienestar, incluida la higiene, la nutrición, la planificación familiar, los deportes, el ejercicio, el envejecimiento saludable y otros temas relacionados con la salud y el bienestar. 
Esto también puede incluir programas de divulgación para las comunidades desplazadas o refugiadas locales de la institución.</t>
  </si>
  <si>
    <t>VE = Educon
Bienestar Institucional</t>
  </si>
  <si>
    <t>Local communities</t>
  </si>
  <si>
    <t>Comunidades locales</t>
  </si>
  <si>
    <t>Disadvantaged people</t>
  </si>
  <si>
    <t>Personas desfavorecidas</t>
  </si>
  <si>
    <t>Refugee/immigrant communities</t>
  </si>
  <si>
    <t>Comunidades de refugiados/inmigrantes</t>
  </si>
  <si>
    <t>Shared sports facilities
Share sports facilities with the local community, for instance with local schools or with the general public.</t>
  </si>
  <si>
    <t>Instalaciones deportivas compartidas
Compartir instalaciones deportivas con la comunidad local, por ejemplo, con las escuelas locales o con el público en general.</t>
  </si>
  <si>
    <t>Planta física
Bienestar</t>
  </si>
  <si>
    <t>Free access to all facilities</t>
  </si>
  <si>
    <t>Acceso gratuito a todas las instalaciones</t>
  </si>
  <si>
    <t>Free access to some facilities</t>
  </si>
  <si>
    <t>Acceso gratuito a algunas instalaciones</t>
  </si>
  <si>
    <t>Charged access</t>
  </si>
  <si>
    <t>Acceso de pago</t>
  </si>
  <si>
    <t>Sexual and reproductive health care services for students
Provide students access to sexual and reproductive health-care services including information and education services.</t>
  </si>
  <si>
    <t>Servicios de atención de salud sexual y reproductiva para estudiantes
Proporcionar a los estudiantes acceso a servicios de atención de salud sexual y reproductiva, incluidos servicios de información y educación.</t>
  </si>
  <si>
    <t>Bienestar institucional
Neurotrauma</t>
  </si>
  <si>
    <t>Free access</t>
  </si>
  <si>
    <t>Acceso gratuito</t>
  </si>
  <si>
    <t>Mental health support for students
Provide students with access to mental health support.</t>
  </si>
  <si>
    <t>Apoyo a la salud mental para estudiantes
Proporcionar a los estudiantes acceso a apoyo de salud mental.</t>
  </si>
  <si>
    <t>Bienestar institucional
Neurotrauma
Programa de Psicología</t>
  </si>
  <si>
    <t>Active promotion of good mental health</t>
  </si>
  <si>
    <t>Promoción activa de una buena salud mental</t>
  </si>
  <si>
    <t>Access to (or signposting to) free mental health support</t>
  </si>
  <si>
    <t>Acceso a (o señalización de) apoyo gratuito de salud mental</t>
  </si>
  <si>
    <t>Access to (or signposting to) charged mental health support</t>
  </si>
  <si>
    <t>Acceso (o señalización de) apoyo de salud mental de pago</t>
  </si>
  <si>
    <t>Smoke-free policy
Have a ‘smoke-free’ policy.</t>
  </si>
  <si>
    <t>Política libre de humo
Tenga una política "libre de humo".</t>
  </si>
  <si>
    <t>Bienestar institucional
Udes verde</t>
  </si>
  <si>
    <t>Smoking-free campus</t>
  </si>
  <si>
    <t>Campus libre de humo</t>
  </si>
  <si>
    <t>Smoking in designated areas</t>
  </si>
  <si>
    <t>Fumar en áreas designadas</t>
  </si>
  <si>
    <t>Mental health support for staff
Provide staff  with access to mental health support.</t>
  </si>
  <si>
    <t>Apoyo de salud mental para el personal
Proporcionar al personal acceso a apoyo de salud mental.</t>
  </si>
  <si>
    <t>SDG4: Quality Education</t>
  </si>
  <si>
    <t>Gestión interna UDES 2026</t>
  </si>
  <si>
    <t>Metrica / Indicador Este año solicitamos información del año académico 2024.</t>
  </si>
  <si>
    <t>Fuente datos</t>
  </si>
  <si>
    <t>Coordinación del reporte</t>
  </si>
  <si>
    <t>Responsable / fuente principal</t>
  </si>
  <si>
    <t>Dependencia(s) de apoyo</t>
  </si>
  <si>
    <t>Tipo de requerimiento</t>
  </si>
  <si>
    <t>Peso oficial THE</t>
  </si>
  <si>
    <t>Prioridad</t>
  </si>
  <si>
    <t>Estado</t>
  </si>
  <si>
    <t xml:space="preserve">Proportion of graduates with teaching qualification </t>
  </si>
  <si>
    <t xml:space="preserve">Proporción de titulados con titulación docente </t>
  </si>
  <si>
    <t>Planeación Institucional</t>
  </si>
  <si>
    <t>Registro y Control Académico / Vicerrectoría de Enseñanza</t>
  </si>
  <si>
    <t>Métrica / bloque de evaluación</t>
  </si>
  <si>
    <t>Pendiente</t>
  </si>
  <si>
    <t>Proporción de titulados con cualificación pertinente para la docencia</t>
  </si>
  <si>
    <t>Dato cuantitativo 2024</t>
  </si>
  <si>
    <t>Número de titulados que han obtenido un título que les da derecho a la enseñanza primaria</t>
  </si>
  <si>
    <t>Lifelong learning measures</t>
  </si>
  <si>
    <t>Medidas de aprendizaje permanente</t>
  </si>
  <si>
    <t>EDUCON
Campus Virtual UDES
Biblioteca</t>
  </si>
  <si>
    <t>EDUCON</t>
  </si>
  <si>
    <t>Campus Virtual UDES / Biblioteca</t>
  </si>
  <si>
    <t>Public resources (lifelong learning) 
Provide free access to educational resources for those not studying at the university.</t>
  </si>
  <si>
    <t>Recursos públicos (aprendizaje permanente)
Proporcionar acceso gratuito a recursos educativos para aquellos que no estudian en la universidad.</t>
  </si>
  <si>
    <t>Evidencia pública</t>
  </si>
  <si>
    <t>Free courses leading to certificate or award</t>
  </si>
  <si>
    <t>Cursos gratuitos que conducen a certificados o premios</t>
  </si>
  <si>
    <t>Free access to campus facilities and equipment</t>
  </si>
  <si>
    <t>Acceso gratuito a las instalaciones y equipos del campus</t>
  </si>
  <si>
    <t>Free access to online resources</t>
  </si>
  <si>
    <t>Acceso gratuito a recursos en línea</t>
  </si>
  <si>
    <t>Public events (lifelong learning)
Host educational events at university that are open to the general public.</t>
  </si>
  <si>
    <t>Eventos públicos (aprendizaje permanente)
Organice eventos educativos en la universidad que estén abiertos al público en general.</t>
  </si>
  <si>
    <t>EDUCON / Graduados
Comunicaciones
Biblioteca
Programas
Campus Virtual UDES
Talento Humano</t>
  </si>
  <si>
    <t>EDUCON / Graduados</t>
  </si>
  <si>
    <t>Comunicaciones / Biblioteca / Programas / Campus Virtual UDES / Talento Humano</t>
  </si>
  <si>
    <t>Free events</t>
  </si>
  <si>
    <t>Eventos gratuitos</t>
  </si>
  <si>
    <t>Both changed and free</t>
  </si>
  <si>
    <t>Cambiado y libre</t>
  </si>
  <si>
    <t>Vocational training events (lifelong learning)
Host events at university that are open to the general public: executive education programmes (this refers to short courses for people who are not attending the university; this specifically excludes courses like MBA) and/or vocational training.</t>
  </si>
  <si>
    <t>Eventos de formación profesional (aprendizaje permanente)
Organizar eventos en la universidad abiertos al público en general: programas de educación ejecutiva (esto se refiere a cursos cortos para personas que no asisten a la universidad; esto excluye específicamente cursos como MBA) y/o formación profesional.</t>
  </si>
  <si>
    <t>EDUCON / Graduados
Desarrollo Profesoral
Comunicaciones
Biblioteca
Programas
Campus Virtual UDES
Talento Humano</t>
  </si>
  <si>
    <t>Desarrollo Profesoral / Comunicaciones / Biblioteca / Programas / Campus Virtual UDES / Talento Humano</t>
  </si>
  <si>
    <t>Ad hoc</t>
  </si>
  <si>
    <t>On programmed basis</t>
  </si>
  <si>
    <t>De forma programada</t>
  </si>
  <si>
    <t>Education outreach activities beyond campus
Undertake educational outreach activities (e.g. tailored lectures or demonstrations) beyond campus – in local schools, in the community. This can include voluntary student-run schemes.</t>
  </si>
  <si>
    <t>Actividades de divulgación educativa más allá del campus
Emprender actividades de divulgación educativa (por ejemplo, conferencias o demostraciones personalizadas) más allá del campus, en las escuelas locales, en la comunidad. Esto puede incluir esquemas voluntarios dirigidos por estudiantes.</t>
  </si>
  <si>
    <t>Lifelong learning access policy
A policy that ensures that access to these activities is accessible to all, regardless of ethnicity, religion, disability immigration status or gender.</t>
  </si>
  <si>
    <t>Política de acceso al aprendizaje permanente
Una política que garantice que el acceso a estas actividades sea accesible para todos, independientemente de su origen étnico, religión, discapacidad, estado migratorio o género.</t>
  </si>
  <si>
    <t>Vicerrectoría de Enseñanza
Vicerrectoría de Extensión</t>
  </si>
  <si>
    <t>Vicerrectoría de Enseñanza</t>
  </si>
  <si>
    <t>Vicerrectoría de Extensión</t>
  </si>
  <si>
    <t>Política / evidencia pública</t>
  </si>
  <si>
    <t>Proporción de estudiantes de primera generación</t>
  </si>
  <si>
    <t>Registro y Control Académico</t>
  </si>
  <si>
    <t>Número de estudiantes que inician una carrera</t>
  </si>
  <si>
    <t>Número de estudiantes de primera generación que comienzan una carrera</t>
  </si>
  <si>
    <t>SDG5: Gender Equality</t>
  </si>
  <si>
    <t>Métrica / Indicador Este año solicitamos información del año académico 2024.</t>
  </si>
  <si>
    <t>Proportion of first-generation female students</t>
  </si>
  <si>
    <t>Proporción de alumnas de primera generación</t>
  </si>
  <si>
    <t>Proportion of women first-generation</t>
  </si>
  <si>
    <t>Proporción de mujeres de primera generación</t>
  </si>
  <si>
    <t>Número de mujeres que comienzan una carrera</t>
  </si>
  <si>
    <t>Número de mujeres de primera generación que comienzan una carrera</t>
  </si>
  <si>
    <t>Medidas de acceso de los estudiantes</t>
  </si>
  <si>
    <t>Vicerrectoría de Enseñanza / Registro y Control Académico</t>
  </si>
  <si>
    <r>
      <rPr>
        <sz val="11"/>
        <color rgb="FF000000"/>
        <rFont val="Calibri"/>
        <family val="2"/>
      </rPr>
      <t xml:space="preserve">Tracking access measures
Systematically measure and </t>
    </r>
    <r>
      <rPr>
        <sz val="11"/>
        <color rgb="FFFF0000"/>
        <rFont val="Calibri"/>
        <family val="2"/>
      </rPr>
      <t>track women’s application rate, acceptance or entry rate.</t>
    </r>
  </si>
  <si>
    <t>Seguimiento de las medidas de acceso
Medir y rastrear sistemáticamente la tasa de solicitud, aceptación o entrada de las mujeres.</t>
  </si>
  <si>
    <t>Policy for women applications and entry
Have a policy (e.g. an Access and Participation plan) addressing women’s applications, acceptance, entry, and participation at the university.</t>
  </si>
  <si>
    <t>Política para las solicitudes y la entrada de mujeres
Tener una política (por ejemplo, un plan de acceso y participación) que aborde las solicitudes, la aceptación, el ingreso y la participación de las mujeres en la universidad.</t>
  </si>
  <si>
    <t>Vicerrectoría de Enseñanza
Planeación Institucional</t>
  </si>
  <si>
    <t>Women’s access schemes
Provide women’s access schemes, including mentoring, scholarships, or other provision</t>
  </si>
  <si>
    <t>Planes de acceso de las mujeres
Proporcionar esquemas de acceso para mujeres, incluida tutoría, becas u otras disposiciones</t>
  </si>
  <si>
    <t>Vicerrectoría de Enseñanza
Vicerrectoría de Investigaciones (Orquidea de la ciencia, otras mujeres), Conv Minciencias
Planeación Institucional
Credito y Cartera
DRNI</t>
  </si>
  <si>
    <t>Vicerrectoría de Enseñanza / Vicerrectoría de Investigaciones (Orquidea de la ciencia, otras mujeres), Conv Minciencias / Credito y Cartera / DRNI</t>
  </si>
  <si>
    <t>Mentoring</t>
  </si>
  <si>
    <t>Tutoría</t>
  </si>
  <si>
    <t>Scholarship</t>
  </si>
  <si>
    <t>Beca</t>
  </si>
  <si>
    <t>Other provision</t>
  </si>
  <si>
    <t>Otras disposiciones</t>
  </si>
  <si>
    <t>Women’s application in underrepresented subjects
Encourage applications by women in subjects where they are underrepresented. Through university outreach or through collaboration with other universities, community groups, government or NGOs in regional or national campaigns.</t>
  </si>
  <si>
    <t>Solicitud de las mujeres en materias subrepresentadas
Fomentar las solicitudes de mujeres en materias en las que están subrepresentadas. A través de la extensión universitaria o mediante la colaboración con otras universidades, grupos comunitarios, gobiernos u ONG en campañas regionales o nacionales.</t>
  </si>
  <si>
    <t>Vicerrectoría de Extensión
Vicerrectoría de Enseñanza
Vicerrectoría de Investigaciones (Orquidea de la ciencia, otras mujeres), Conv Minciencias
Planeación Institucional
Credito y Cartera
DRNI
Mujer y Hogar / Miudes</t>
  </si>
  <si>
    <t>Vicerrectoría de Extensión / Vicerrectoría de Enseñanza / Vicerrectoría de Investigaciones (Orquidea de la ciencia, otras mujeres), Conv Minciencias / Credito y Cartera / DRNI / Mujer y Hogar / Miudes</t>
  </si>
  <si>
    <t>through university outreach</t>
  </si>
  <si>
    <t>a través de la extensión universitaria</t>
  </si>
  <si>
    <t>through collaboration with other universities and/or community groups and/or government     and/or NGOs in regional or national campaigns</t>
  </si>
  <si>
    <t>a través de la colaboración con otras universidades y/o grupos comunitarios y/o el gobierno y/o las ONG en campañas regionales o nacionales</t>
  </si>
  <si>
    <t>Proporción de mujeres académicas de alto nivel</t>
  </si>
  <si>
    <t>Talento Humano</t>
  </si>
  <si>
    <t>Número de personal académico superior</t>
  </si>
  <si>
    <t>Número de mujeres en el personal académico superior</t>
  </si>
  <si>
    <t>Proportion of women receiving degrees</t>
  </si>
  <si>
    <t>Proporción de mujeres que reciben títulos</t>
  </si>
  <si>
    <t>Proporción de títulos femeninos otorgados</t>
  </si>
  <si>
    <t>Número de graduados: Total</t>
  </si>
  <si>
    <t>Número de graduados por área temática (STEM, Medicina, Artes y Humanidades / Ciencias Sociales): Total</t>
  </si>
  <si>
    <t>Número de graduados: STEM</t>
  </si>
  <si>
    <t>Número de graduados: Medicina</t>
  </si>
  <si>
    <t>Número de graduados: Artes y Humanidades / Ciencias Sociales</t>
  </si>
  <si>
    <t>Número de mujeres graduadas por área temática (STEM, Medicina, Artes y Humanidades / Ciencias Sociales): Total</t>
  </si>
  <si>
    <t>Número de mujeres graduadas: STEM</t>
  </si>
  <si>
    <t>Número de mujeres graduadas: Medicina</t>
  </si>
  <si>
    <t>Número de mujeres graduadas: Artes y Humanidades / Ciencias Sociales</t>
  </si>
  <si>
    <t>Medidas de progreso de las mujeres</t>
  </si>
  <si>
    <t>Policy of non-discrimination against women
Have a policy of non-discrimination against women</t>
  </si>
  <si>
    <t>Política de no discriminación contra la mujer
Tener una política de no discriminación contra las mujeres</t>
  </si>
  <si>
    <t>Vicerrectoría de Enseñanza
Talento Humano</t>
  </si>
  <si>
    <t>Non-discrimination policies for transgender
Have a policy of non-discrimination for transgender people.</t>
  </si>
  <si>
    <t>Políticas de no discriminación para las personas transgénero
Tener una política de no discriminación para las personas transgénero.</t>
  </si>
  <si>
    <t>Maternity policy
Have a maternity policy that support women’s participation.</t>
  </si>
  <si>
    <t>Política de maternidad
Tener una política de maternidad que apoye la participación de las mujeres.</t>
  </si>
  <si>
    <t>Childcare facilities for students
Have accessible childcare facilities for students which allow recent mothers to attend university 
courses.</t>
  </si>
  <si>
    <t>Guarderías para estudiantes
Tener guarderías accesibles para estudiantes que permitan a las madres recién nacidas asistir a la universidad Cursos.</t>
  </si>
  <si>
    <t>Vicerrectoría de Enseñanza
Talento Humano
Bienestar</t>
  </si>
  <si>
    <t>Talento Humano / Bienestar</t>
  </si>
  <si>
    <t xml:space="preserve">Free </t>
  </si>
  <si>
    <t xml:space="preserve">Gratis </t>
  </si>
  <si>
    <t xml:space="preserve">Paid 
</t>
  </si>
  <si>
    <t xml:space="preserve">Pagado </t>
  </si>
  <si>
    <t>Childcare facilities for staff and faculty
Have childcare facilities for staff and faculty</t>
  </si>
  <si>
    <t>Instalaciones de cuidado infantil para el personal y la facultad
Tener instalaciones de cuidado infantil para el personal y la facultad.</t>
  </si>
  <si>
    <t>Women’s mentoring schemes
Have women’s mentoring schemes, in which at least 10% of female students participate.</t>
  </si>
  <si>
    <t>Programas de tutoría para mujeres
Tener programas de tutoría para mujeres, en los que participe al menos el 10% de las estudiantes.</t>
  </si>
  <si>
    <t>Vicerrectoría de Enseñanza
Talento Humano
Bienestar
Desarrollo Profesoral
Desarrollo Estudiantil
Campus Virtual UDES
Vicerrectoría de Extensión
Programa de Psicología y de Salud</t>
  </si>
  <si>
    <t>Talento Humano / Bienestar / Desarrollo Profesoral / Desarrollo Estudiantil / Campus Virtual UDES / Vicerrectoría de Extensión / Programa de Psicología y de Salud</t>
  </si>
  <si>
    <t>Track women’s graduation rate
Have measurement or tracking of women’s likelihood of graduating compared to men’s, and schemes in place to close any gap.</t>
  </si>
  <si>
    <t>Seguimiento de la tasa de graduación de las mujeres
Tener una medición o seguimiento de la probabilidad de graduación de las mujeres en comparación con la de los hombres, y esquemas para cerrar cualquier brecha.</t>
  </si>
  <si>
    <t>Policies protecting those reporting discrimination
Have a policy that protects those reporting discrimination from educational or employment disadvantage</t>
  </si>
  <si>
    <t>Políticas que protegen a quienes denuncian discriminación
Tener una política que proteja a quienes denuncian discriminación de desventajas educativas o laborales</t>
  </si>
  <si>
    <t>Paternity policy
Have a paternity policy that supports women’s participation by ensuring that fathers can participate in childcare duties</t>
  </si>
  <si>
    <t>Política de paternidad
Tener una política de paternidad que apoye la participación de las mujeres al garantizar que los padres puedan participar en las tareas de cuidado de los niños.</t>
  </si>
  <si>
    <t>SDG6: Clean Water and Sanitation</t>
  </si>
  <si>
    <t>Measure the total volume of water used in the university that is taken from mains supply, 
desalinated, or extracted from rivers, lakes, or aquifers?</t>
  </si>
  <si>
    <t>Whole university</t>
  </si>
  <si>
    <t>Partial measurement</t>
  </si>
  <si>
    <t>Wastewater treatment
A process in place to treat wastewater.</t>
  </si>
  <si>
    <t>Preventing water system pollution
Processes to prevent polluted water entering the water system, including pollution caused by accidents and incidents at the university.</t>
  </si>
  <si>
    <t>Free drinking water provided
Provide free drinking water for students, staff and/or visitors (e.g. drinking water fountains).</t>
  </si>
  <si>
    <t>Water-conscious building standards
Apply building standards to minimise water use</t>
  </si>
  <si>
    <t>Water-conscious planting
Plant landscapes to minimise water usage. (e.g. use drought-tolerant plants)</t>
  </si>
  <si>
    <t>Water reuse</t>
  </si>
  <si>
    <t>Water reuse policy
Have a policy to maximise water reuse across the university?</t>
  </si>
  <si>
    <t>Water reuse measurement
Measure the reuse of water across the university?</t>
  </si>
  <si>
    <t>Water management educational opportunities
Provide educational opportunities for local communities to learn about good water management</t>
  </si>
  <si>
    <t>Free</t>
  </si>
  <si>
    <t>Paid</t>
  </si>
  <si>
    <t>Off-campus water conservation support
Support practical water conservation off campus</t>
  </si>
  <si>
    <t>Sustainable water extraction on campus
Where water is extracted (for example from aquifers, lakes or rivers) utilise sustainable water extraction technologies on associated university grounds on and off campus.</t>
  </si>
  <si>
    <t>Cooperation on water security
Cooperate with local, regional, national, or global governments on water security.</t>
  </si>
  <si>
    <t>Local</t>
  </si>
  <si>
    <t>Regional</t>
  </si>
  <si>
    <t xml:space="preserve">National </t>
  </si>
  <si>
    <t xml:space="preserve">Promoting conscious water usage on campus
Actively promote conscious water usage on campus, 
</t>
  </si>
  <si>
    <t>SDG7: Affordable and Clean Energy</t>
  </si>
  <si>
    <t>Energy-efficient renovation and building
Have a policy in place for ensuring all renovations or new builds are following energy efficiency standards</t>
  </si>
  <si>
    <t>Upgrade buildings to higher energy efficiency
Have plans to upgrade existing buildings to higher energy efficiency</t>
  </si>
  <si>
    <t>Carbon reduction and emission reduction process
Have a process for carbon management and reducing carbon dioxide emissions</t>
  </si>
  <si>
    <t>Plan to reduce energy consumption
Have an energy efficiency plan in place to reduce overall energy consumption</t>
  </si>
  <si>
    <t>Energy wastage identification
Undergo energy reviews to identify areas where energy waste is highest</t>
  </si>
  <si>
    <t>Divestment policy
Have a policy on divesting investments from carbon-intensive energy industries notably coal and oil</t>
  </si>
  <si>
    <t>Local community outreach for energy efficiency
Provide programmes for local community to learn about importance of energy efficiency and clean energy</t>
  </si>
  <si>
    <t>100% renewable energy pledge
Promote a public pledge toward 100% renewable energy beyond the university</t>
  </si>
  <si>
    <t>Energy efficiency services for industry
Provide direct services to local industry aimed at improving energy efficiency and clean energy (energy efficiency assessments, workshops, research renewable energy options)</t>
  </si>
  <si>
    <t>Policy development for clean energy technology
Inform and support governments in clean energy and energy-efficient technology policy development</t>
  </si>
  <si>
    <t xml:space="preserve">Local </t>
  </si>
  <si>
    <t xml:space="preserve">Regional </t>
  </si>
  <si>
    <t>National</t>
  </si>
  <si>
    <t>Global</t>
  </si>
  <si>
    <t>Assistance to low-carbon innovation
Provide assistance for start-ups that foster and support a low-carbon economy or technology</t>
  </si>
  <si>
    <t>SDG8: Decent Work and 
Economic Growth</t>
  </si>
  <si>
    <t>Employment practice living wage
Pay all staff and faculty at least the living wage, defined as the local living wage (if government defines this) or the local financial poverty indicator for a family of four (expressed as an hourly wage)</t>
  </si>
  <si>
    <t>Employment practice unions
Recognize unions (freedom of association &amp; collective bargaining) for all, including women &amp; international staff</t>
  </si>
  <si>
    <t>Employment policy on discrimination
Have a policy on ending discrimination in the workplace (including discrimination based on religion, sexuality, gender, age, or refugee status)</t>
  </si>
  <si>
    <t>Employment policy modern slavery
Have a policy commitment against forced labour, modern slavery, human trafficking and child labour</t>
  </si>
  <si>
    <t>Employment practice equivalent rights outsourcing
Have a policy on guaranteeing equivalent rights of workers when outsourcing activities to third parties</t>
  </si>
  <si>
    <t>Employment policy pay scale equity
Have a policy on pay scale equity including a commitment to measurement and elimination of 
gender pay gaps</t>
  </si>
  <si>
    <t>Tracking pay scale for gender equity
Measurement or tracking pay scale gender equity</t>
  </si>
  <si>
    <t>Employment practice appeal process
Have a process for employees to appeal on employee rights and/or pay</t>
  </si>
  <si>
    <t>Employment practice labour rights
Recognise labour rights (freedom of association and collective bargaining) for all, including women and international staff</t>
  </si>
  <si>
    <t>Proportion of students with work placements</t>
  </si>
  <si>
    <t>SDG9: Industry, Innovation and Infrastructure</t>
  </si>
  <si>
    <t>Number of university spin offs</t>
  </si>
  <si>
    <t xml:space="preserve">Number of university spin-offs </t>
  </si>
  <si>
    <t>Research income from industry and commerce by subject area: STEM</t>
  </si>
  <si>
    <t>Research income from industry and commerce by subject area: Medicine</t>
  </si>
  <si>
    <t>Research income from industry and commerce by subject area: Arts &amp; Humanities / Social sciences</t>
  </si>
  <si>
    <t>Number of academic staff by subject area: Arts &amp; Humanities / Social sciences</t>
  </si>
  <si>
    <t>SDG10: Reduced Inequalities</t>
  </si>
  <si>
    <t>First-generation students</t>
  </si>
  <si>
    <t>Estudiantes de primera generación</t>
  </si>
  <si>
    <t>International students from developing countries</t>
  </si>
  <si>
    <t>Estudiantes internacionales de países en desarrollo</t>
  </si>
  <si>
    <t>Planeación Institucional
DRNI</t>
  </si>
  <si>
    <t>DRNI</t>
  </si>
  <si>
    <t>Proporción de estudiantes internacionales de países en desarrollo</t>
  </si>
  <si>
    <t>Número de estudiantes</t>
  </si>
  <si>
    <t>Número de estudiantes internacionales de países en desarrollo</t>
  </si>
  <si>
    <t>Proporción de estudiantes con discapacidad</t>
  </si>
  <si>
    <t>Bienestar / Desarrollo Estudiantil</t>
  </si>
  <si>
    <t>Número de estudiantes con discapacidad</t>
  </si>
  <si>
    <t>Proporción de empleados con discapacidad</t>
  </si>
  <si>
    <t>Número de empleados</t>
  </si>
  <si>
    <t>Número de empleados con discapacidad</t>
  </si>
  <si>
    <t>Medidas contra la discriminación</t>
  </si>
  <si>
    <t>Non-discriminatory admissions policy
Have an admissions policy which is non-discriminatory or which details and explains the logic for any appropriate positive discrimination policies in admissions</t>
  </si>
  <si>
    <t>Política de admisión no discriminatoria
Tener una política de admisión que no sea discriminatoria o que detalle y explique la lógica de cualquier política de discriminación positiva apropiada en las admisiones.</t>
  </si>
  <si>
    <t>Vicerrectoría de Enseñanza
Talento Humano
Registro y Control Académico</t>
  </si>
  <si>
    <t>Talento Humano / Registro y Control Académico</t>
  </si>
  <si>
    <t>Access to university track underrepresented groups applications
Measure and track applications and admissions of underrepresented (and potentially underrepresented) groups including ethnic minorities, low income students, non-traditional students, women, LGBT students, disabled students, and newly settled refugee students.</t>
  </si>
  <si>
    <t>Acceso a la universidad, seguimiento de solicitudes de grupos subrepresentados
Mida y realice un seguimiento de las solicitudes y admisiones de grupos subrepresentados (y potencialmente subrepresentados), incluidas minorías étnicas, estudiantes de bajos ingresos, estudiantes no tradicionales, mujeres, estudiantes LGBT, estudiantes discapacitados y estudiantes refugiados recién establecidos.</t>
  </si>
  <si>
    <t>Vicerrectoría de Enseñanza / Registro y Control Académico / Bienestar</t>
  </si>
  <si>
    <t>Access to university underrepresented groups recruit
Take planned actions  to recruit students, staff, and faculty from under-represented groups</t>
  </si>
  <si>
    <t>Acceso a la universidad recluta a grupos subrepresentados
Tomar medidas planificadas para reclutar estudiantes, personal y profesores de grupos subrepresentados</t>
  </si>
  <si>
    <t>Vicerrectoría de Enseñanza
Talento Humano
Mercadeo Institucional
Desarrollo Profesoral</t>
  </si>
  <si>
    <t>Talento Humano / Mercadeo Institucional / Desarrollo Profesoral</t>
  </si>
  <si>
    <t>Anti-discrimination policies
Have an anti-discrimination policy that covers the institution and its operations.</t>
  </si>
  <si>
    <t>Políticas contra la discriminación
Tener una política antidiscriminatoria que abarque a la institución y sus operaciones.</t>
  </si>
  <si>
    <t>COPASST
VAF
Comité de Inclusión
Talento Humano</t>
  </si>
  <si>
    <t>COPASST</t>
  </si>
  <si>
    <t>VAF / Comité de Inclusión / Talento Humano</t>
  </si>
  <si>
    <t>University diversity officer
Have a diversity and equality committee, office or officer (or the equivalent) tasked by the administration or governing body to advise on and implement policies, programmes and trainings related to diversity, equity, inclusion and human rights on campus.</t>
  </si>
  <si>
    <t>Oficial de diversidad universitaria
Tener un comité, oficina o funcionario de diversidad e igualdad (o su equivalente) encargado por la administración o el órgano de gobierno de asesorar e implementar políticas, programas y capacitaciones relacionados con la diversidad, la equidad, la inclusión y los derechos humanos en el campus.</t>
  </si>
  <si>
    <t>Comité de Inclusión</t>
  </si>
  <si>
    <t>Support for underrepresented groups
Provide mentoring, counselling, or peer support programmes to support students, staff, and faculty from underrepresented groups.</t>
  </si>
  <si>
    <t>Apoyo a grupos subrepresentados
Proporcionar programas de tutoría, asesoramiento o apoyo entre pares para apoyar a los estudiantes, el personal y el profesorado de grupos subrepresentados.</t>
  </si>
  <si>
    <t>Bienestar
Desarrollo Estudiantil
Desarrollo Profesoral
Talento Humano</t>
  </si>
  <si>
    <t>Bienestar</t>
  </si>
  <si>
    <t>Desarrollo Estudiantil / Desarrollo Profesoral / Talento Humano</t>
  </si>
  <si>
    <t>Accessible facilities
Provide accessible facilities for people with disabilities.</t>
  </si>
  <si>
    <t>Instalaciones accesibles
Proporcionar instalaciones accesibles para personas con discapacidades.</t>
  </si>
  <si>
    <t>Planta Física</t>
  </si>
  <si>
    <t>Disability support services
Support services for people with disabilities.</t>
  </si>
  <si>
    <t>Servicios de apoyo a la discapacidad
Servicios de apoyo para personas con discapacidad.</t>
  </si>
  <si>
    <t>Bienestar
Desarrollo Estudiantil
Desarrollo Profesoral
Talento Humano
Biblioteca
Planta Física</t>
  </si>
  <si>
    <t>Desarrollo Estudiantil / Desarrollo Profesoral / Talento Humano / Biblioteca / Planta Física</t>
  </si>
  <si>
    <t xml:space="preserve">Disability access scheme
Provide access schemes for people with disabilities such as mentoring or other targeted support   </t>
  </si>
  <si>
    <t xml:space="preserve">Esquema de acceso para discapacitados
Proporcionar esquemas de acceso para personas con discapacidad, como tutoría u otro apoyo específico.   </t>
  </si>
  <si>
    <t>Other targeted support</t>
  </si>
  <si>
    <t>Otro soporte específico</t>
  </si>
  <si>
    <t>Disability accommodation policy
Have reasonable accommodation policy or strategy for people with disabilities including adequate funding</t>
  </si>
  <si>
    <t>Política de adaptación para discapacitados
Tener una política o estrategia de adaptación razonable para las personas con discapacidades, incluida la financiación adecuada</t>
  </si>
  <si>
    <t>Talento Humano
Comité de Inclusión
Bienestar</t>
  </si>
  <si>
    <t>Comité de Inclusión / Bienestar</t>
  </si>
  <si>
    <t>Anti-harassment policy
Have an anti-harassment policy that covers the institution and its operations_x000D_</t>
  </si>
  <si>
    <t>Política contra el acoso
Tener una política contra el acoso que cubra la institución y sus operaciones.</t>
  </si>
  <si>
    <t>Talento Humano
Comité de convivencia laboral</t>
  </si>
  <si>
    <t>Comité de convivencia laboral</t>
  </si>
  <si>
    <t>SDG11: Sustainable Cities 
and Communities</t>
  </si>
  <si>
    <t>Public access to buildings
Provide public access to buildings and/or monuments or natural heritage landscapes of cultural significance</t>
  </si>
  <si>
    <t>Free access to all significant buildings</t>
  </si>
  <si>
    <t>Some free access</t>
  </si>
  <si>
    <t>Paid access</t>
  </si>
  <si>
    <t>Public access to libraries
Provide public access to libraries including books and publications</t>
  </si>
  <si>
    <t>Automatic free access</t>
  </si>
  <si>
    <t xml:space="preserve">Access to all after application
</t>
  </si>
  <si>
    <t>Access in some circumstances</t>
  </si>
  <si>
    <t>Public access to museums
Provide public access to museums, exhibition spaces or galleries, or works of art and artefacts</t>
  </si>
  <si>
    <t>Free access to all museums and galleries</t>
  </si>
  <si>
    <t>Free access to some</t>
  </si>
  <si>
    <t>Public access to green spaces
Provide free public access to open spaces and green spaces</t>
  </si>
  <si>
    <t>Permanent free access</t>
  </si>
  <si>
    <t>Occasional free access</t>
  </si>
  <si>
    <t>Arts and heritage contribution
Contribute to local arts, in terms of number of annual public performances of university choirs, theatre groups, orchestras etc… either ad-hoc or as part of an ongoing programme</t>
  </si>
  <si>
    <t>More than 30 perfomancees</t>
  </si>
  <si>
    <t>More than 15 perfomances</t>
  </si>
  <si>
    <t>Ad-hoc only</t>
  </si>
  <si>
    <t>Record and preserve cultural heritage
Deliver projects to record and preserve intangible cultural heritage such as local folklore, traditions, language, and knowledge. This can include the heritage of displaced communities.</t>
  </si>
  <si>
    <t xml:space="preserve">Local or regional cultural heritage
</t>
  </si>
  <si>
    <t>National cultural heritage</t>
  </si>
  <si>
    <t>Heritage of displaced communities</t>
  </si>
  <si>
    <t>Sustainable practices targets
Measure and set targets for more sustainable commuting (walking, cycling or other non-motorized transport, vanpools, carpools, shuttlebus or public transportation, motorcycle, scooter or moped, or electric vehicles)</t>
  </si>
  <si>
    <t xml:space="preserve">Promote sustainable commuting
Undertake actions to promote more sustainable commuting </t>
  </si>
  <si>
    <t>Allow remote working
Promote or allow telecommuting or remote working for employees as a matter of policy or standard practice, or offer a condensed working week to reduce employee commuting</t>
  </si>
  <si>
    <t>Affordable housing for employees
Provide affordable housing for employees</t>
  </si>
  <si>
    <t>Evaluating affordability</t>
  </si>
  <si>
    <t>Providing housing directly</t>
  </si>
  <si>
    <t>Providing financial support</t>
  </si>
  <si>
    <t>Affordable housing for students
Provide affordable housing for students</t>
  </si>
  <si>
    <t>Pedestrian priority on campus
Prioritise pedestrian access on campus</t>
  </si>
  <si>
    <t>Local authority collaboration regarding planning and development 
Work with local authorities to address planning issues and development, including ensuring that local residents are able to access affordable housing</t>
  </si>
  <si>
    <t>Planning development - new build standards
Build new buildings to sustainable standards</t>
  </si>
  <si>
    <t>Building on brownfield sites
Build on brownfield sites, where possible</t>
  </si>
  <si>
    <t>SDG12: Responsible Consumption 
and Production</t>
  </si>
  <si>
    <t>Ethical sourcing policy
Have a policy on ethical sourcing of food and supplies</t>
  </si>
  <si>
    <t>Policy waste disposal - hazardous materials
Have a policy, process or practice on waste disposal - Covering hazardous materials</t>
  </si>
  <si>
    <t>Policy waste disposal - landfill policy
Have a policy on waste disposal - to measure the amount of waste sent to landfill and recycled</t>
  </si>
  <si>
    <t>Policy for minimisation of plastic use
Have policies around use minimisation of plastic</t>
  </si>
  <si>
    <t>Policy for minimisation of disposable items
Have policies around use minimisation of disposable items</t>
  </si>
  <si>
    <t>Minimisation policies extended to suppliers 
Ensuring these policies extend to outsourced suppliers and the supply chain - (for example suppliers of equipment, stationery, building contracts)</t>
  </si>
  <si>
    <t>Proportion of recycled waste</t>
  </si>
  <si>
    <t>Waste tracking
Measure the amount of waste generated and recycled across the university</t>
  </si>
  <si>
    <t xml:space="preserve">Annual </t>
  </si>
  <si>
    <t>Bi-annual</t>
  </si>
  <si>
    <t>Less Frequent</t>
  </si>
  <si>
    <t>SDG13: Climate Action</t>
  </si>
  <si>
    <t>Public 
(Yes/No)</t>
  </si>
  <si>
    <t>Low-carbon energy tracking
Measure the amount of low carbon energy used across the university</t>
  </si>
  <si>
    <t>Local education programmes on climate
Provide local education programmes or campaigns on climate change risks, impacts, mitigation, adaptation, impact reduction and early warning</t>
  </si>
  <si>
    <t>Climate Action Plan, shared
Have a university Climate Action plan, shared with local government and local community groups</t>
  </si>
  <si>
    <t xml:space="preserve">Co-operative planning for climate change disasters
Participate in co-operative planning for climate change disasters, that may include the displacement of people both within a country and across borders, working with government </t>
  </si>
  <si>
    <t>Inform and support government
Inform and support local or regional government in local climate change disaster or risk early warning and monitoring</t>
  </si>
  <si>
    <t>Environmental education collaborate with NGO
Collaborate with NGOs on climate adaptation</t>
  </si>
  <si>
    <t>Commitment to carbon neutral university</t>
  </si>
  <si>
    <t>Commitment to carbon neutral university
Have a target date by which it will become carbon neutral according to the Greenhouse Gas Protocols?</t>
  </si>
  <si>
    <t>scope 1</t>
  </si>
  <si>
    <t>scope 1 and 2</t>
  </si>
  <si>
    <t>Scope 1, 2 and 3 (partial)</t>
  </si>
  <si>
    <t>Scope 1, 2 and 3 (full)</t>
  </si>
  <si>
    <t xml:space="preserve">Achieve by 	
•	Date for achieved prior to 2023 – 4 points
•	Date for achieved by: 2023-2029 – 3 points
•	Date for achieved by: 2030-2039 – 2 points
•	Date for achieved by: 2040-2049 – 1 point
•	Date for achieved by: 2050 or later – 0.5 </t>
  </si>
  <si>
    <t>SDG14: Life Below Water</t>
  </si>
  <si>
    <t>Fresh-water ecosystems (community outreach)
Offer educational programmes on fresh-water ecosystems (water irrigation practices, water management/conservation) for local or national communities</t>
  </si>
  <si>
    <t>Sustainable fisheries (community outreach)
Offer educational programme or outreach for local or national communities on sustainable management of fisheries, aquaculture and tourism</t>
  </si>
  <si>
    <t>Overfishing (community outreach)
Offer educational outreach activities for local or national communities to raise awareness about overfishing, illegal, unreported and unregulated fishing and destructive fishing practices</t>
  </si>
  <si>
    <t>Conservation and sustainable utilisation of the oceans (events)
Support or organise events aimed to promote conservation and sustainable utilisation of the oceans, seas, lakes, rivers and marine resources</t>
  </si>
  <si>
    <t>Food from aquatic ecosystems (policies)
Have a policy to ensure that food on campus that comes from aquatic ecosystems is sustainably harvested</t>
  </si>
  <si>
    <t>Maintain ecosystems and their biodiversity (direct work)
Work directly (research and/or engagement with industries) to maintain and extend existing ecosystems and their biodiversity, of both plants and animals, especially ecosystems under threat</t>
  </si>
  <si>
    <t>Technologies towards aquatic ecosystem damage prevention (direct work)
Work directly (research and/or engagement with industries) on technologies or practices that enable marine industry to minimise or prevent damage to aquatic ecosystems</t>
  </si>
  <si>
    <t>Water discharge guidelines and standards
Have water quality standards and guidelines for water discharges (to uphold water quality in order to protect ecosystems, wildlife, and human health and welfare)</t>
  </si>
  <si>
    <t>Action plan to reducing plastic waste
Have an action plan in place to reduce plastic waste on campus</t>
  </si>
  <si>
    <t>Reducing marine pollution (policy)
Have a policy on preventing and reducing marine pollution of all kinds, in particular from land-based activities</t>
  </si>
  <si>
    <t>Minimizing alteration of aquatic ecosystems (plan)
Have a plan to minimise physical, chemical and biological alterations of related aquatic ecosystems</t>
  </si>
  <si>
    <t>Monitoring the health of aquatic ecosystems
Monitor the health of aquatic ecosystems</t>
  </si>
  <si>
    <t>Programs towards good aquatic stewardship practices
Develop and support programmes and incentives that encourage and maintain good aquatic stewardship practices</t>
  </si>
  <si>
    <t>On-going</t>
  </si>
  <si>
    <t>Collaboration for shared aquatic ecosystems
Collaborate with the local community in efforts to maintain shared aquatic ecosystems</t>
  </si>
  <si>
    <t>Watershed management strategy
Have implemented a watershed management strategy based on location specific diversity of aquatic species</t>
  </si>
  <si>
    <t>SDG15: Life On Land</t>
  </si>
  <si>
    <t>Events about sustainable use of land
Support or organise events aimed to promote conservation and sustainable utilisation of the land, including forests and wild land</t>
  </si>
  <si>
    <t>Sustainably farmed food on campus
Have policies to ensure that food on campus is sustainably farmed</t>
  </si>
  <si>
    <t>Maintain and extend current ecosystems' biodiversity
Work directly to maintain and extend existing ecosystems and their biodiversity, of both plants and animals, especially ecosystems under threat</t>
  </si>
  <si>
    <t xml:space="preserve">Educational programmes on ecosystems
Offer educational programmes on ecosystems (looking at wild flora and fauna) for local or national communities? </t>
  </si>
  <si>
    <t>Sustainable management of land for agriculture (educational outreach)
Offer educational programme/outreach for local or national communities on sustainable management of land for agriculture</t>
  </si>
  <si>
    <t>Sustainable management of land for tourism (educational outreach)
Offer educational programme/outreach for local or national communities on sustainable management of land for tourism</t>
  </si>
  <si>
    <t>Sustainable use, conservation and restoration of land (policy)
Have a policy to ensure the conservation, restoration and sustainable use of terrestrial ecosystems associated with the university, in particular forests, mountains and drylands</t>
  </si>
  <si>
    <t>Monitoring IUCN and other conservation species (policies)
Have a policy to identify, monitor and protect any IUCN Red Listed species and national conservation list species with habits in areas affected by the operation of your university</t>
  </si>
  <si>
    <t xml:space="preserve">Local biodiversity included in planning and development
Include local biodiversity into any planning and development process (e.g. construction of new buildings) </t>
  </si>
  <si>
    <t>Alien species impact reduction (policies)
Have a policy to reduce the impact of alien species on Campus</t>
  </si>
  <si>
    <t>Collaboration for shared land ecosystems
Collaborate with the local community to maintain shared land ecosystems</t>
  </si>
  <si>
    <t>Policy on plastic waste reduction
Have a policy on reducing plastic waste on campus</t>
  </si>
  <si>
    <t>Policy on hazardous waste disposal
Have a policy, process or practice on waste disposal covering hazardous materials</t>
  </si>
  <si>
    <t>SDG16: Peace, Justice and 
Strong Institutions</t>
  </si>
  <si>
    <t>Elected representation
Have elected representation on the university’s highest governing body from: students (both undergraduate and graduate), faculty, and staff (non-faculty employees)</t>
  </si>
  <si>
    <t>students (both undergraduate and graduate)</t>
  </si>
  <si>
    <t xml:space="preserve">faculty </t>
  </si>
  <si>
    <t>staff (non-faculty employees)</t>
  </si>
  <si>
    <r>
      <t xml:space="preserve">Students' union
Recognise </t>
    </r>
    <r>
      <rPr>
        <sz val="11"/>
        <color theme="1"/>
        <rFont val="Calibri"/>
        <family val="2"/>
        <scheme val="minor"/>
      </rPr>
      <t>an independent students’ union</t>
    </r>
  </si>
  <si>
    <t xml:space="preserve">Union provides governance input to university
</t>
  </si>
  <si>
    <t xml:space="preserve">Union provides support for students
</t>
  </si>
  <si>
    <t>Union provides social activities</t>
  </si>
  <si>
    <t>Identify and engage with local stakeholders
Have written policies and procedures to identify local stakeholders external to the university and engage with them</t>
  </si>
  <si>
    <t xml:space="preserve">Participatory bodies for stakeholder engagement
Ensure that local stakeholders in the university – including local residents, local government, and civil society representativels (which may include groups such as refugee resettlement agencies) – have a meaningful mechanism or for participating in university decision making. </t>
  </si>
  <si>
    <t>University principles on corruption and bribery
Publish the university's principles and commitments on organized crime, corruption &amp; bribery</t>
  </si>
  <si>
    <t>Academic freedom policy
Have a policy on supporting academic freedom (freedom to choose areas of research and to speak and teach publicly about the area of their research)</t>
  </si>
  <si>
    <t>Research freedom for senior academics</t>
  </si>
  <si>
    <t xml:space="preserve">Research freedom for junior academics
</t>
  </si>
  <si>
    <t xml:space="preserve">Teaching freedom for senior academics
</t>
  </si>
  <si>
    <t>Teaching freedom for junior academics</t>
  </si>
  <si>
    <t>Publish financial data 
Publish university financial data</t>
  </si>
  <si>
    <t>Provide expert advice to government 
Provide specific expert advice to local, regional or national government (for example through policy guidance, participation in committees, provision of evidence)</t>
  </si>
  <si>
    <t>Policy- and lawmakers outreach and education
Provide outreach, general education, upskilling and capacity-building to policy and lawmakers on relevant topics including economics, law, technology, migration and displacement, and climate change</t>
  </si>
  <si>
    <t>Participation in government research
Undertake policy-focused research in collaboration with government departments</t>
  </si>
  <si>
    <t>Neutral platform to discuss issues
Provide a neutral platform and ‘safe’ space for different political stakeholders to come together to frankly discuss challenges</t>
  </si>
  <si>
    <t xml:space="preserve">Proportion of graduates in law </t>
  </si>
  <si>
    <t>SDG17: Partnerships for the Goals</t>
  </si>
  <si>
    <t>Metrica / Indicador</t>
  </si>
  <si>
    <t>Relaciones para apoyar los objetivos</t>
  </si>
  <si>
    <t>Extensión / Investigaciones / DRNI / Comunicaciones</t>
  </si>
  <si>
    <t>Relationships with regional NGOs and government for SDG policy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</si>
  <si>
    <t>Relaciones con ONG regionales y gobierno para la política de los ODS 
Tener participación directa o aportes en el gobierno nacional o en organizaciones no gubernamentales regionales, el desarrollo de políticas de los ODS, incluida la identificación de problemas y desafíos, el desarrollo de políticas y estrategias, el modelado de futuros probables con y sin intervenciones, el monitoreo y la presentación de informes sobre las intervenciones, y la habilitación de la gestión adaptativa</t>
  </si>
  <si>
    <t>Planeación Institucional
Comunicaciones</t>
  </si>
  <si>
    <t>Vicerrectoría de Extensión / Vicerrectoría de Investigaciones / DRNI / Comunicaciones</t>
  </si>
  <si>
    <t>Cross sectoral dialogue about SDGs
Initiate and participate in cross-sectoral dialogue about the SDGs, e.g. conferences involving government or NGOs</t>
  </si>
  <si>
    <t>Diálogo intersectorial sobre los ODS
Iniciar y participar en un diálogo intersectorial sobre los ODS, por ejemplo, conferencias en las que participen gobiernos u ONG.</t>
  </si>
  <si>
    <t>Vicerrectoría de Extensión / Vicerrectoría de Investigaciones / Comunicaciones</t>
  </si>
  <si>
    <t>International collaboration data gathering for SDG
Participate in international collaboration on gathering or measuring data for the SDGs</t>
  </si>
  <si>
    <t>Recopilación de datos de colaboración internacional para los ODS
Participar en la colaboración internacional en la recopilación o medición de datos para los ODS</t>
  </si>
  <si>
    <t>Vicerrectoría de Investigaciones / DRNI</t>
  </si>
  <si>
    <t>Collaboration for SDG best practice
Through international collaboration and research, review comparative approaches and develop international best practice on tackling the SDGs</t>
  </si>
  <si>
    <t>Colaboración para las mejores prácticas de los ODS
A través de la colaboración y la investigación internacionales, revisar los enfoques comparativos y desarrollar las mejores prácticas internacionales para abordar los ODS.</t>
  </si>
  <si>
    <t>Collaboration with NGOs for SDGs
Collaborate with NGOs to tackle the SDGs through: student volunteering programmes, research programmes, or development of educational resources</t>
  </si>
  <si>
    <t>Colaboración con ONG para los ODS
Colaborar con las ONG para abordar los ODS a través de: programas de voluntariado estudiantil, programas de investigación o desarrollo de recursos educativos</t>
  </si>
  <si>
    <t>Bienestar / Vicerrectoría de Investigaciones / DRNI / Educación Virtual</t>
  </si>
  <si>
    <t>student volunteering programmes</t>
  </si>
  <si>
    <t>Programas de voluntariado estudiantil</t>
  </si>
  <si>
    <t>Bienestar
DRNI</t>
  </si>
  <si>
    <t>research programmes</t>
  </si>
  <si>
    <t>Programas de investigación</t>
  </si>
  <si>
    <t>Vicerrectoría de Investigaciones</t>
  </si>
  <si>
    <t>development of educational resources</t>
  </si>
  <si>
    <t>Desarrollo de recursos educativos</t>
  </si>
  <si>
    <t>Campus Virtual UDES</t>
  </si>
  <si>
    <t>Publication of SDG reports</t>
  </si>
  <si>
    <t>informe separado</t>
  </si>
  <si>
    <t>Comunicaciones / Vicerrectorías y unidades responsables por ODS</t>
  </si>
  <si>
    <t>17.3.1</t>
  </si>
  <si>
    <t>Publication of SDG reports - per SDG
Publish progress against against SDG1, either individually or within an annual report</t>
  </si>
  <si>
    <t>Publicación de informes sobre los ODS - por ODS
Publicar el progreso con respecto al ODS 1, ya sea individualmente o dentro de un informe anual</t>
  </si>
  <si>
    <t>overall report</t>
  </si>
  <si>
    <t>Informe general</t>
  </si>
  <si>
    <t>separate report</t>
  </si>
  <si>
    <t xml:space="preserve">informe separado
</t>
  </si>
  <si>
    <t>Publication of SDG reports - per SDG
Publish progress against against SDG2, either individually or within an annual report</t>
  </si>
  <si>
    <t>Publicación de informes sobre los ODS - por ODS
Publicar el progreso con respecto al ODS 2, ya sea individualmente o dentro de un informe anual</t>
  </si>
  <si>
    <t>Publication of SDG reports - per SDG
Publish progress against against SDG3, either individually or within an annual report</t>
  </si>
  <si>
    <t>Publicación de informes sobre los ODS - por ODS
Publicar el progreso con respecto al ODS 3, ya sea individualmente o dentro de un informe anual</t>
  </si>
  <si>
    <t>Publication of SDG reports - per SDG
Publish progress against against SDG4, either individually or within an annual report</t>
  </si>
  <si>
    <t>Publicación de informes sobre los ODS - por ODS
Publicar el progreso con respecto al ODS 4, ya sea individualmente o dentro de un informe anual</t>
  </si>
  <si>
    <t>Publication of SDG reports - per SDG
Publish progress against against SDG5, either individually or within an annual report</t>
  </si>
  <si>
    <t>Publicación de informes sobre los ODS - por ODS
Publicar el progreso con respecto al ODS 5, ya sea individualmente o dentro de un informe anual</t>
  </si>
  <si>
    <t>Publication of SDG reports - per SDG
Publish progress against against SDG6, either individually or within an annual report</t>
  </si>
  <si>
    <t>Publicación de informes sobre los ODS - por ODS
Publicar el progreso con respecto al ODS 6, ya sea individualmente o dentro de un informe anual</t>
  </si>
  <si>
    <t>Publication of SDG reports - per SDG
Publish progress against against SDG7, either individually or within an annual report</t>
  </si>
  <si>
    <t>Publicación de informes sobre los ODS - por ODS
Publicar el progreso con respecto al ODS 7, ya sea individualmente o dentro de un informe anual</t>
  </si>
  <si>
    <t>Publication of SDG reports - per SDG
Publish progress against against SDG8, either individually or within an annual report</t>
  </si>
  <si>
    <t>Publicación de informes sobre los ODS - por ODS
Publicar el progreso con respecto al ODS 8, ya sea individualmente o dentro de un informe anual</t>
  </si>
  <si>
    <t>Publication of SDG reports - per SDG
Publish progress against against SDG9, either individually or within an annual report</t>
  </si>
  <si>
    <t>Publicación de informes sobre los ODS - por ODS
Publicar el progreso con respecto al ODS 9, ya sea individualmente o dentro de un informe anual</t>
  </si>
  <si>
    <t>Publication of SDG reports - per SDG
Publish progress against against SDG10, either individually or within an annual report</t>
  </si>
  <si>
    <t>Publicación de informes sobre los ODS - por ODS
Publicar el progreso con respecto al ODS 10, ya sea individualmente o dentro de un informe anual</t>
  </si>
  <si>
    <t>Publication of SDG reports - per SDG
Publish progress against against SDG11, either individually or within an annual report</t>
  </si>
  <si>
    <t>Publicación de informes sobre los ODS - por ODS
Publicar el progreso con respecto al ODS 11, ya sea individualmente o dentro de un informe anual</t>
  </si>
  <si>
    <t>Publication of SDG reports - per SDG
Publish progress against against SDG12, either individually or within an annual report</t>
  </si>
  <si>
    <t>Publicación de informes sobre los ODS - por ODS
Publicar el progreso con respecto al ODS 12, ya sea individualmente o dentro de un informe anual</t>
  </si>
  <si>
    <t>Publication of SDG reports - per SDG
Publish progress against against SDG13, either individually or within an annual report</t>
  </si>
  <si>
    <t>Publicación de informes sobre los ODS - por ODS
Publicar el progreso con respecto al ODS 13, ya sea individualmente o dentro de un informe anual</t>
  </si>
  <si>
    <t>Publication of SDG reports - per SDG
Publish progress against against SDG14, either individually or within an annual report</t>
  </si>
  <si>
    <t>Publicación de informes sobre los ODS - por ODS
Publicar el progreso con respecto al ODS 14, ya sea individualmente o dentro de un informe anual</t>
  </si>
  <si>
    <t>Publication of SDG reports - per SDG
Publish progress against against SDG15, either individually or within an annual report</t>
  </si>
  <si>
    <t>Publicación de informes sobre los ODS - por ODS
Publicar el progreso con respecto al ODS 15, ya sea individualmente o dentro de un informe anual</t>
  </si>
  <si>
    <t>Publication of SDG reports - per SDG
Publish progress against against SDG16, either individually or within an annual report</t>
  </si>
  <si>
    <t>Publicación de informes sobre los ODS - por ODS
Publicar el progreso con respecto al ODS 16, ya sea individualmente o dentro de un informe anual</t>
  </si>
  <si>
    <t>Publication of SDG reports - per SDG
Publish progress against against SDG17, either individually or within an annual report</t>
  </si>
  <si>
    <t>Publicación de informes sobre los ODS - por ODS
Publicar el progreso con respecto al ODS 17, ya sea individualmente o dentro de un informe anual</t>
  </si>
  <si>
    <t>Educación para los ODS</t>
  </si>
  <si>
    <t>Vicerrectoría de Enseñanza / Extensión / DRNI / Desarrollo Profesoral</t>
  </si>
  <si>
    <t>Education for SDGs commitment to meaningful education
Have a commitment to meaningful education around the SDGs across the university, relevant and applicable to all students</t>
  </si>
  <si>
    <t>Educación para los ODS: compromiso con una educación significativa
Tener un compromiso con una educación significativa en torno a los ODS en toda la universidad, relevante y aplicable a todos los estudiantes</t>
  </si>
  <si>
    <t>Vicerrectoría de Enseñanza / Comunicaciones</t>
  </si>
  <si>
    <t>education integrated across full curriculum</t>
  </si>
  <si>
    <t>Educación integrada en todo el plan de estudios</t>
  </si>
  <si>
    <t>mandatory education for all</t>
  </si>
  <si>
    <t>Educación obligatoria para todos</t>
  </si>
  <si>
    <t>optional education for all</t>
  </si>
  <si>
    <t>Educación opcional para todos</t>
  </si>
  <si>
    <t>Education for SDGs specific courses on sustainability
Have dedicated courses (full degrees, or electives) that address sustainability and the SDGs.</t>
  </si>
  <si>
    <t>Cursos específicos de educación para los ODS sobre sostenibilidad
Tener cursos dedicados (títulos completos u optativos) que aborden la sostenibilidad y los ODS.</t>
  </si>
  <si>
    <t>Planeación Institucional
EDUCON
DRNI
Desarrollo Profesoral</t>
  </si>
  <si>
    <t>EDUCON / DRNI / Desarrollo Profesoral</t>
  </si>
  <si>
    <t>Education for SDGs in the wider community
Have dedicated outreach educational activities for the wider community, which could include alumni, local residents, displaced people</t>
  </si>
  <si>
    <t>Educación para los ODS en la comunidad en general
Tener actividades educativas de divulgación dedicadas para la comunidad en general, que podrían incluir ex alumnos, residentes locales, personas desplazadas</t>
  </si>
  <si>
    <t>UDES Verde
Graduados
EDUCON
Desarrollo Profesoral</t>
  </si>
  <si>
    <t>UDES Verde</t>
  </si>
  <si>
    <t>Graduados / EDUCON / Desarrollo Profesoral / Planeación Institucional</t>
  </si>
  <si>
    <t>Alumni</t>
  </si>
  <si>
    <t>Egresados</t>
  </si>
  <si>
    <t>Local community</t>
  </si>
  <si>
    <t>Comunidad local</t>
  </si>
  <si>
    <t>Displaced people and refugees</t>
  </si>
  <si>
    <t>Personas desplazadas y refugiadas</t>
  </si>
  <si>
    <t>Sustainability Literacy
This question explores how you evaluate your students’ ability to learn and retain key concepts of sustainability. For 2026 this question is not scored. Measure the sustainability literacy of students.</t>
  </si>
  <si>
    <t>Alfabetización en sostenibilidad
Esta pregunta explora cómo evalúa la capacidad de sus estudiantes para aprender y retener conceptos clave de sostenibilidad. Para 2026, esta pregunta no puntúa. Medir la alfabetización en sostenibilidad de los estudiantes.</t>
  </si>
  <si>
    <t>sistema Sulitest TASK
DRNI</t>
  </si>
  <si>
    <t>Indicador sin puntaje en la edición 2026. Herramienta identificada: Sulitest TASK.</t>
  </si>
  <si>
    <t>Evidencia (sin puntaje 2026)</t>
  </si>
  <si>
    <t>Control UDES – Sustainability Impact Ratings 2026</t>
  </si>
  <si>
    <t>ODS seleccionados: 4, 5, 10 y 17 | Coordinación institucional: Planeación Institucional | Año de información: 2024</t>
  </si>
  <si>
    <t>Planeación Institucional coordina el reporte y, según el indicador, también busca, consolida, valida o produce directamente los datos y evidencias.</t>
  </si>
  <si>
    <t>Vista consolidada de seguimiento. Diligencie datos, respuestas y evidencias en las hojas SDG4, SDG5, SDG10 y SDG17; esta hoja se actualiza automáticamente.</t>
  </si>
  <si>
    <t>Indicadores</t>
  </si>
  <si>
    <t>Alta prioridad</t>
  </si>
  <si>
    <t>Media</t>
  </si>
  <si>
    <t>Baja</t>
  </si>
  <si>
    <t>Completos</t>
  </si>
  <si>
    <t>Fuente metodológica</t>
  </si>
  <si>
    <t>https://www.timeshighereducation.com/cms-academic/sites/default/files/2025-08/THE.SustainabilityImpactRatings.METHODOLOGY.2026.v2.pdf</t>
  </si>
  <si>
    <t>ODS</t>
  </si>
  <si>
    <t>Indicador</t>
  </si>
  <si>
    <t>Descripción</t>
  </si>
  <si>
    <t>Peso THE</t>
  </si>
  <si>
    <t>Coordinación</t>
  </si>
  <si>
    <t>Responsable principal</t>
  </si>
  <si>
    <t>Dato / valor</t>
  </si>
  <si>
    <t>Respuesta</t>
  </si>
  <si>
    <t>Evidencia / URL</t>
  </si>
  <si>
    <t>Pública</t>
  </si>
  <si>
    <t>Comentarios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</si>
</sst>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6">
    <font>
      <sz val="11"/>
      <color theme="1"/>
      <name val="Calibri"/>
    </font>
    <font>
      <sz val="11"/>
      <color theme="1"/>
      <name val="Calibri"/>
      <family val="2"/>
      <scheme val="minor"/>
    </font>
    <font>
      <b/>
      <sz val="11"/>
      <color theme="1"/>
      <name val="Calibri"/>
    </font>
    <font>
      <sz val="11"/>
      <name val="Calibri"/>
    </font>
    <font>
      <b/>
      <sz val="18"/>
      <name val="Calibri"/>
    </font>
    <font>
      <b/>
      <sz val="11"/>
      <name val="Calibri"/>
    </font>
    <font>
      <sz val="11"/>
      <color theme="1"/>
      <name val="Calibri"/>
    </font>
    <font>
      <sz val="11"/>
      <color rgb="FFFF0000"/>
      <name val="Calibri"/>
    </font>
    <font>
      <b/>
      <sz val="10"/>
      <color theme="0"/>
      <name val="Calibri"/>
    </font>
    <font>
      <sz val="8"/>
      <name val="Calibri"/>
    </font>
    <font>
      <b/>
      <sz val="8"/>
      <color theme="0"/>
      <name val="Calibri"/>
    </font>
    <font>
      <sz val="8"/>
      <color theme="1"/>
      <name val="Calibri"/>
    </font>
    <font>
      <sz val="12"/>
      <color rgb="FF000000"/>
      <name val="Calibri"/>
    </font>
    <font>
      <sz val="12"/>
      <name val="Calibri"/>
    </font>
    <font>
      <b/>
      <sz val="11"/>
      <color theme="0"/>
      <name val="Calibri"/>
    </font>
    <font>
      <b/>
      <sz val="12"/>
      <color theme="0"/>
      <name val="Calibri"/>
    </font>
    <font>
      <sz val="12"/>
      <color theme="1"/>
      <name val="Calibri"/>
    </font>
    <font>
      <sz val="11"/>
      <color rgb="FF000000"/>
      <name val="Calibri"/>
    </font>
    <font>
      <b/>
      <sz val="10"/>
      <name val="Calibri"/>
    </font>
    <font>
      <sz val="10"/>
      <name val="Calibri"/>
    </font>
    <font>
      <b/>
      <sz val="11"/>
      <color rgb="FF000000"/>
      <name val="Calibri"/>
    </font>
    <font>
      <b/>
      <sz val="12"/>
      <color rgb="FFFFFFFF"/>
      <name val="Calibri"/>
    </font>
    <font>
      <b/>
      <sz val="11"/>
      <color rgb="FFFFFFFF"/>
      <name val="Calibri"/>
    </font>
    <font>
      <b/>
      <sz val="16"/>
      <color rgb="FFFFFFFF"/>
      <name val="Calibri"/>
    </font>
    <font>
      <b/>
      <sz val="11"/>
      <color rgb="FF003087"/>
      <name val="Calibri"/>
    </font>
    <font>
      <i/>
      <sz val="11"/>
      <color rgb="FF374151"/>
      <name val="Calibri"/>
    </font>
    <font>
      <b/>
      <sz val="14"/>
      <color rgb="FF003087"/>
      <name val="Calibri"/>
    </font>
    <font>
      <i/>
      <sz val="11"/>
      <color rgb="FF6B4F00"/>
      <name val="Calibri"/>
    </font>
    <font>
      <sz val="18"/>
      <name val="Calibri"/>
      <family val="2"/>
      <scheme val="minor"/>
    </font>
    <font>
      <b/>
      <sz val="11"/>
      <name val="Calibri"/>
      <family val="2"/>
      <scheme val="minor"/>
    </font>
    <font>
      <sz val="11"/>
      <name val="Calibri"/>
      <family val="2"/>
      <scheme val="minor"/>
    </font>
    <font>
      <sz val="11"/>
      <name val="Calibri"/>
      <family val="2"/>
    </font>
    <font>
      <b/>
      <sz val="11"/>
      <color rgb="FF000000"/>
      <name val="Calibri"/>
      <family val="2"/>
      <scheme val="minor"/>
    </font>
    <font>
      <sz val="11"/>
      <color rgb="FF000000"/>
      <name val="Calibri"/>
      <family val="2"/>
      <scheme val="minor"/>
    </font>
    <font>
      <sz val="11"/>
      <color rgb="FF000000"/>
      <name val="Calibri"/>
      <family val="2"/>
    </font>
    <font>
      <sz val="11"/>
      <color rgb="FFFF0000"/>
      <name val="Calibri"/>
      <family val="2"/>
    </font>
  </fonts>
  <fills count="29">
    <fill>
      <patternFill patternType="none"/>
    </fill>
    <fill>
      <patternFill patternType="gray125"/>
    </fill>
    <fill>
      <patternFill patternType="solid">
        <fgColor theme="0" tint="-0.14999847407452621"/>
        <bgColor indexed="65"/>
      </patternFill>
    </fill>
    <fill>
      <patternFill patternType="solid">
        <fgColor theme="6" tint="0.59996337778862885"/>
        <bgColor indexed="65"/>
      </patternFill>
    </fill>
    <fill>
      <patternFill patternType="solid">
        <fgColor theme="0" tint="-0.49995422223578601"/>
        <bgColor indexed="65"/>
      </patternFill>
    </fill>
    <fill>
      <patternFill patternType="solid">
        <fgColor rgb="FFE5243B"/>
      </patternFill>
    </fill>
    <fill>
      <patternFill patternType="solid">
        <fgColor theme="2"/>
      </patternFill>
    </fill>
    <fill>
      <patternFill patternType="solid">
        <fgColor rgb="FFDDA63A"/>
      </patternFill>
    </fill>
    <fill>
      <patternFill patternType="solid">
        <fgColor theme="0"/>
      </patternFill>
    </fill>
    <fill>
      <patternFill patternType="solid">
        <fgColor rgb="FF00B050"/>
      </patternFill>
    </fill>
    <fill>
      <patternFill patternType="solid">
        <fgColor rgb="FFFF0000"/>
      </patternFill>
    </fill>
    <fill>
      <patternFill patternType="solid">
        <fgColor rgb="FFC00000"/>
      </patternFill>
    </fill>
    <fill>
      <patternFill patternType="solid">
        <fgColor rgb="FF33CCFF"/>
      </patternFill>
    </fill>
    <fill>
      <patternFill patternType="solid">
        <fgColor rgb="FFFFC000"/>
      </patternFill>
    </fill>
    <fill>
      <patternFill patternType="solid">
        <fgColor rgb="FFCC0066"/>
      </patternFill>
    </fill>
    <fill>
      <patternFill patternType="solid">
        <fgColor theme="5"/>
      </patternFill>
    </fill>
    <fill>
      <patternFill patternType="solid">
        <fgColor rgb="FFFF0066"/>
      </patternFill>
    </fill>
    <fill>
      <patternFill patternType="solid">
        <fgColor theme="7" tint="-0.249977111117893"/>
        <bgColor indexed="65"/>
      </patternFill>
    </fill>
    <fill>
      <patternFill patternType="solid">
        <fgColor theme="9" tint="-0.249977111117893"/>
        <bgColor indexed="65"/>
      </patternFill>
    </fill>
    <fill>
      <patternFill patternType="solid">
        <fgColor rgb="FF00B0F0"/>
      </patternFill>
    </fill>
    <fill>
      <patternFill patternType="solid">
        <fgColor theme="4" tint="-0.249977111117893"/>
        <bgColor indexed="65"/>
      </patternFill>
    </fill>
    <fill>
      <patternFill patternType="solid">
        <fgColor rgb="FF00CC66"/>
      </patternFill>
    </fill>
    <fill>
      <patternFill patternType="solid">
        <fgColor theme="4" tint="-0.49995422223578601"/>
        <bgColor indexed="65"/>
      </patternFill>
    </fill>
    <fill>
      <patternFill patternType="solid">
        <fgColor rgb="FF003087"/>
      </patternFill>
    </fill>
    <fill>
      <patternFill patternType="solid">
        <fgColor rgb="FFE8EEF8"/>
      </patternFill>
    </fill>
    <fill>
      <patternFill patternType="solid">
        <fgColor rgb="FFF7F7F7"/>
      </patternFill>
    </fill>
    <fill>
      <patternFill patternType="solid">
        <fgColor rgb="FFC8A951"/>
      </patternFill>
    </fill>
    <fill>
      <patternFill patternType="solid">
        <fgColor rgb="FFF8FAFC"/>
      </patternFill>
    </fill>
    <fill>
      <patternFill patternType="solid">
        <fgColor rgb="FFFFF8E1"/>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6" fillId="3" borderId="0" applyNumberFormat="0" applyBorder="0" applyAlignment="0" applyProtection="0"/>
  </cellStyleXfs>
  <cellXfs count="450">
    <xf numFmtId="0" fontId="0" fillId="0" borderId="0" xfId="0"/>
    <xf numFmtId="0" fontId="3" fillId="2" borderId="0" xfId="0" applyFont="1" applyFill="1" applyAlignment="1">
      <alignment horizontal="center" vertical="center"/>
    </xf>
    <xf numFmtId="0" fontId="0" fillId="2" borderId="0" xfId="0" applyFill="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0" fillId="0" borderId="0" xfId="0" applyAlignment="1">
      <alignment horizontal="center" vertical="center"/>
    </xf>
    <xf numFmtId="0" fontId="5" fillId="2" borderId="0" xfId="0" applyFont="1" applyFill="1"/>
    <xf numFmtId="0" fontId="5" fillId="2" borderId="0" xfId="0" applyFont="1" applyFill="1" applyAlignment="1">
      <alignment horizontal="center" vertical="center"/>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6" fillId="3" borderId="0" xfId="1" applyAlignment="1">
      <alignment horizontal="center" vertical="center"/>
    </xf>
    <xf numFmtId="0" fontId="6" fillId="3" borderId="0" xfId="1"/>
    <xf numFmtId="0" fontId="6" fillId="3" borderId="0" xfId="1" applyAlignment="1">
      <alignment vertical="center"/>
    </xf>
    <xf numFmtId="0" fontId="2" fillId="3" borderId="0" xfId="1" applyFont="1" applyAlignment="1">
      <alignment horizontal="center" vertical="center"/>
    </xf>
    <xf numFmtId="0" fontId="2" fillId="3" borderId="0" xfId="1" applyFont="1"/>
    <xf numFmtId="0" fontId="0" fillId="0" borderId="0" xfId="0" applyAlignment="1">
      <alignment vertical="center"/>
    </xf>
    <xf numFmtId="0" fontId="3" fillId="0" borderId="0" xfId="0" applyFont="1"/>
    <xf numFmtId="0" fontId="3" fillId="0" borderId="0" xfId="0" applyFont="1" applyAlignment="1">
      <alignment horizontal="center"/>
    </xf>
    <xf numFmtId="0" fontId="5" fillId="3" borderId="0" xfId="1" applyFont="1" applyAlignment="1">
      <alignment horizontal="left" vertical="center" wrapText="1"/>
    </xf>
    <xf numFmtId="0" fontId="3" fillId="3" borderId="0" xfId="1" applyFont="1" applyAlignment="1">
      <alignment horizontal="center" vertical="center"/>
    </xf>
    <xf numFmtId="0" fontId="3" fillId="0" borderId="0" xfId="0" applyFont="1" applyAlignment="1">
      <alignment wrapText="1"/>
    </xf>
    <xf numFmtId="0" fontId="5" fillId="3" borderId="0" xfId="1" applyFont="1" applyAlignment="1">
      <alignment wrapText="1"/>
    </xf>
    <xf numFmtId="0" fontId="4" fillId="3" borderId="0" xfId="1" applyFont="1" applyAlignment="1">
      <alignment wrapText="1"/>
    </xf>
    <xf numFmtId="0" fontId="2" fillId="0" borderId="0" xfId="0" applyFont="1"/>
    <xf numFmtId="0" fontId="5" fillId="2" borderId="0" xfId="0" applyFont="1" applyFill="1" applyAlignment="1">
      <alignment horizontal="left" vertical="center"/>
    </xf>
    <xf numFmtId="0" fontId="2" fillId="0" borderId="0" xfId="0" applyFont="1" applyAlignment="1">
      <alignment horizontal="left" vertical="top"/>
    </xf>
    <xf numFmtId="0" fontId="5" fillId="0" borderId="0" xfId="0" applyFont="1"/>
    <xf numFmtId="0" fontId="5" fillId="3" borderId="0" xfId="1" applyFont="1"/>
    <xf numFmtId="0" fontId="4" fillId="3" borderId="0" xfId="1" applyFont="1" applyAlignment="1">
      <alignment horizontal="left" vertical="center" wrapText="1"/>
    </xf>
    <xf numFmtId="0" fontId="3" fillId="0" borderId="0" xfId="0" applyFont="1" applyAlignment="1">
      <alignment horizontal="left" vertical="top" wrapText="1"/>
    </xf>
    <xf numFmtId="0" fontId="3" fillId="0" borderId="0" xfId="1" applyFont="1" applyFill="1" applyAlignment="1">
      <alignment horizontal="left" vertical="center" wrapText="1"/>
    </xf>
    <xf numFmtId="0" fontId="3" fillId="0" borderId="0" xfId="0" applyFont="1" applyAlignment="1">
      <alignment horizontal="left" wrapText="1"/>
    </xf>
    <xf numFmtId="0" fontId="6" fillId="0" borderId="0" xfId="1" applyFill="1" applyAlignment="1">
      <alignment horizontal="center"/>
    </xf>
    <xf numFmtId="0" fontId="3" fillId="0" borderId="0" xfId="1" applyFont="1" applyFill="1" applyAlignment="1">
      <alignment horizontal="left" vertical="top" wrapText="1"/>
    </xf>
    <xf numFmtId="0" fontId="5" fillId="0" borderId="0" xfId="1" applyFont="1" applyFill="1" applyAlignment="1">
      <alignment horizontal="left" vertical="center" wrapText="1"/>
    </xf>
    <xf numFmtId="0" fontId="6" fillId="0" borderId="0" xfId="1" applyFill="1"/>
    <xf numFmtId="0" fontId="5" fillId="0" borderId="0" xfId="0" applyFont="1" applyAlignment="1">
      <alignment wrapText="1"/>
    </xf>
    <xf numFmtId="0" fontId="5" fillId="0" borderId="0" xfId="0" applyFont="1" applyAlignment="1">
      <alignment horizontal="left" vertical="top" wrapText="1"/>
    </xf>
    <xf numFmtId="0" fontId="5" fillId="0" borderId="0" xfId="1" applyFont="1" applyFill="1" applyAlignment="1">
      <alignment horizontal="left" vertical="top" wrapText="1"/>
    </xf>
    <xf numFmtId="0" fontId="5" fillId="2" borderId="0" xfId="0" applyFont="1" applyFill="1" applyAlignment="1">
      <alignment horizontal="left" vertical="top"/>
    </xf>
    <xf numFmtId="0" fontId="5" fillId="0" borderId="0" xfId="0" applyFont="1" applyAlignment="1">
      <alignment horizontal="left" vertical="top"/>
    </xf>
    <xf numFmtId="0" fontId="5" fillId="0" borderId="0" xfId="1" applyFont="1" applyFill="1" applyAlignment="1">
      <alignment wrapText="1"/>
    </xf>
    <xf numFmtId="0" fontId="6" fillId="0" borderId="0" xfId="1" applyFill="1" applyAlignment="1">
      <alignment horizontal="center" vertical="center"/>
    </xf>
    <xf numFmtId="0" fontId="5" fillId="0" borderId="0" xfId="0" applyFont="1" applyAlignment="1">
      <alignment horizontal="left" vertical="center" wrapText="1"/>
    </xf>
    <xf numFmtId="0" fontId="6" fillId="0" borderId="0" xfId="1" applyFill="1" applyAlignment="1">
      <alignment vertical="center"/>
    </xf>
    <xf numFmtId="0" fontId="0" fillId="0" borderId="0" xfId="0" applyAlignment="1">
      <alignment vertical="center" wrapText="1"/>
    </xf>
    <xf numFmtId="0" fontId="3" fillId="0" borderId="0" xfId="1" applyFont="1" applyFill="1" applyAlignment="1">
      <alignment horizontal="center" vertical="center"/>
    </xf>
    <xf numFmtId="0" fontId="2" fillId="0" borderId="1" xfId="0" applyFont="1" applyBorder="1" applyAlignment="1">
      <alignment horizontal="left" vertical="top"/>
    </xf>
    <xf numFmtId="0" fontId="5" fillId="0" borderId="1" xfId="1" applyFont="1" applyFill="1" applyBorder="1" applyAlignment="1">
      <alignment horizontal="left" vertical="top" wrapText="1"/>
    </xf>
    <xf numFmtId="0" fontId="0" fillId="0" borderId="1" xfId="0" applyBorder="1"/>
    <xf numFmtId="0" fontId="0" fillId="0" borderId="1" xfId="0" applyBorder="1" applyAlignment="1">
      <alignment horizontal="left" vertical="top"/>
    </xf>
    <xf numFmtId="0" fontId="3" fillId="0" borderId="1" xfId="1" applyFont="1" applyFill="1" applyBorder="1" applyAlignment="1">
      <alignment horizontal="left" vertical="top" wrapText="1"/>
    </xf>
    <xf numFmtId="0" fontId="3" fillId="0" borderId="1" xfId="0" applyFont="1" applyBorder="1" applyAlignment="1">
      <alignment vertical="top"/>
    </xf>
    <xf numFmtId="0" fontId="0" fillId="0" borderId="1" xfId="0" applyBorder="1" applyAlignment="1">
      <alignment horizontal="center" vertical="center"/>
    </xf>
    <xf numFmtId="0" fontId="0" fillId="6" borderId="1" xfId="0" applyFill="1" applyBorder="1" applyAlignment="1">
      <alignment horizontal="center" vertical="center"/>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9" fillId="0" borderId="1" xfId="0" applyFont="1" applyBorder="1" applyAlignment="1">
      <alignment horizontal="center" vertical="center"/>
    </xf>
    <xf numFmtId="0" fontId="0" fillId="6" borderId="10" xfId="0" applyFill="1" applyBorder="1" applyAlignment="1">
      <alignment horizontal="center" vertical="center"/>
    </xf>
    <xf numFmtId="0" fontId="3" fillId="6" borderId="10" xfId="0" applyFont="1" applyFill="1" applyBorder="1" applyAlignment="1">
      <alignment horizontal="center" vertical="center"/>
    </xf>
    <xf numFmtId="0" fontId="5" fillId="0" borderId="10" xfId="1" applyFont="1" applyFill="1" applyBorder="1" applyAlignment="1">
      <alignment wrapText="1"/>
    </xf>
    <xf numFmtId="0" fontId="6" fillId="6" borderId="12" xfId="1" applyFill="1" applyBorder="1" applyAlignment="1"/>
    <xf numFmtId="0" fontId="6" fillId="6" borderId="13" xfId="1" applyFill="1" applyBorder="1" applyAlignment="1"/>
    <xf numFmtId="0" fontId="6" fillId="6" borderId="1" xfId="1" applyFill="1" applyBorder="1" applyAlignment="1"/>
    <xf numFmtId="0" fontId="6" fillId="0" borderId="1" xfId="1" applyFill="1" applyBorder="1" applyAlignment="1"/>
    <xf numFmtId="0" fontId="0" fillId="0" borderId="1" xfId="0" applyBorder="1" applyAlignment="1">
      <alignment vertical="center" wrapText="1"/>
    </xf>
    <xf numFmtId="0" fontId="0" fillId="0" borderId="10" xfId="0" applyBorder="1" applyAlignment="1">
      <alignment vertical="center" wrapText="1"/>
    </xf>
    <xf numFmtId="0" fontId="3" fillId="0" borderId="10" xfId="0" applyFont="1" applyBorder="1" applyAlignment="1">
      <alignment horizontal="left" vertical="top"/>
    </xf>
    <xf numFmtId="0" fontId="3" fillId="0" borderId="10" xfId="0" applyFont="1" applyBorder="1" applyAlignment="1">
      <alignment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0" fillId="0" borderId="1" xfId="0" applyBorder="1" applyAlignment="1">
      <alignment wrapText="1"/>
    </xf>
    <xf numFmtId="0" fontId="0" fillId="6" borderId="7" xfId="0" applyFill="1" applyBorder="1" applyAlignment="1">
      <alignment vertical="center"/>
    </xf>
    <xf numFmtId="0" fontId="0" fillId="6" borderId="8" xfId="0" applyFill="1" applyBorder="1" applyAlignment="1">
      <alignment vertical="center"/>
    </xf>
    <xf numFmtId="0" fontId="3" fillId="0" borderId="1" xfId="0" applyFont="1" applyBorder="1" applyAlignment="1">
      <alignment vertical="top" wrapText="1"/>
    </xf>
    <xf numFmtId="0" fontId="0" fillId="0" borderId="8" xfId="0" applyBorder="1" applyAlignment="1">
      <alignment wrapText="1"/>
    </xf>
    <xf numFmtId="0" fontId="3" fillId="0" borderId="11" xfId="0" applyFont="1" applyBorder="1" applyAlignment="1">
      <alignment horizontal="left" vertical="top" wrapText="1"/>
    </xf>
    <xf numFmtId="0" fontId="5" fillId="0" borderId="1" xfId="1" applyFont="1" applyFill="1" applyBorder="1" applyAlignment="1">
      <alignment wrapText="1"/>
    </xf>
    <xf numFmtId="0" fontId="6" fillId="6" borderId="2" xfId="1" applyFill="1" applyBorder="1" applyAlignment="1"/>
    <xf numFmtId="0" fontId="6" fillId="6" borderId="7" xfId="1" applyFill="1" applyBorder="1" applyAlignment="1"/>
    <xf numFmtId="0" fontId="0" fillId="6" borderId="9" xfId="0" applyFill="1" applyBorder="1" applyAlignment="1">
      <alignment horizontal="center" vertical="center"/>
    </xf>
    <xf numFmtId="0" fontId="0" fillId="0" borderId="9" xfId="0" applyBorder="1" applyAlignment="1">
      <alignment horizontal="left" vertical="top"/>
    </xf>
    <xf numFmtId="0" fontId="0" fillId="0" borderId="11" xfId="0" applyBorder="1" applyAlignment="1">
      <alignment horizontal="left" vertical="top"/>
    </xf>
    <xf numFmtId="0" fontId="0" fillId="6" borderId="11" xfId="0" applyFill="1" applyBorder="1" applyAlignment="1">
      <alignment horizontal="center" vertical="center"/>
    </xf>
    <xf numFmtId="0" fontId="3" fillId="0" borderId="9" xfId="0" applyFont="1" applyBorder="1" applyAlignment="1">
      <alignment horizontal="left" vertical="top" wrapText="1"/>
    </xf>
    <xf numFmtId="0" fontId="0" fillId="0" borderId="9" xfId="0" applyBorder="1" applyAlignment="1">
      <alignment horizontal="center" vertical="center"/>
    </xf>
    <xf numFmtId="0" fontId="0" fillId="0" borderId="11" xfId="0" applyBorder="1" applyAlignment="1">
      <alignment horizontal="center" vertical="center"/>
    </xf>
    <xf numFmtId="0" fontId="3" fillId="0" borderId="10" xfId="0" applyFont="1" applyBorder="1" applyAlignment="1">
      <alignment horizontal="left" vertical="center" wrapText="1"/>
    </xf>
    <xf numFmtId="0" fontId="3" fillId="0" borderId="1" xfId="0" applyFont="1" applyBorder="1" applyAlignment="1">
      <alignment horizontal="left" vertical="center" wrapText="1"/>
    </xf>
    <xf numFmtId="0" fontId="3" fillId="0" borderId="9" xfId="0" applyFont="1" applyBorder="1" applyAlignment="1">
      <alignment horizontal="left" vertical="center" wrapText="1"/>
    </xf>
    <xf numFmtId="0" fontId="2" fillId="0" borderId="9" xfId="0" applyFont="1" applyBorder="1" applyAlignment="1">
      <alignment horizontal="left" vertical="top"/>
    </xf>
    <xf numFmtId="0" fontId="5" fillId="0" borderId="11" xfId="1" applyFont="1" applyFill="1" applyBorder="1" applyAlignment="1">
      <alignment wrapText="1"/>
    </xf>
    <xf numFmtId="0" fontId="0" fillId="0" borderId="13" xfId="0" applyBorder="1" applyAlignment="1">
      <alignment horizontal="left" vertical="top"/>
    </xf>
    <xf numFmtId="0" fontId="3" fillId="0" borderId="11" xfId="0" applyFont="1" applyBorder="1" applyAlignment="1">
      <alignment vertical="center"/>
    </xf>
    <xf numFmtId="0" fontId="3" fillId="0" borderId="9" xfId="0" applyFont="1" applyBorder="1" applyAlignment="1">
      <alignment vertical="center"/>
    </xf>
    <xf numFmtId="0" fontId="3" fillId="0" borderId="1" xfId="0" applyFont="1" applyBorder="1" applyAlignment="1">
      <alignment wrapText="1"/>
    </xf>
    <xf numFmtId="0" fontId="6" fillId="6" borderId="4" xfId="1" applyFill="1" applyBorder="1" applyAlignment="1"/>
    <xf numFmtId="0" fontId="6" fillId="6" borderId="8" xfId="1" applyFill="1" applyBorder="1" applyAlignment="1"/>
    <xf numFmtId="0" fontId="0" fillId="6" borderId="12" xfId="0" applyFill="1" applyBorder="1" applyAlignment="1">
      <alignment horizontal="center" vertical="center"/>
    </xf>
    <xf numFmtId="0" fontId="3" fillId="0" borderId="14" xfId="1" applyFont="1" applyFill="1" applyBorder="1" applyAlignment="1">
      <alignment horizontal="left" vertical="top" wrapText="1"/>
    </xf>
    <xf numFmtId="0" fontId="5" fillId="0" borderId="5" xfId="1" applyFont="1" applyFill="1" applyBorder="1" applyAlignment="1">
      <alignment wrapText="1"/>
    </xf>
    <xf numFmtId="0" fontId="0" fillId="0" borderId="14" xfId="0" applyBorder="1" applyAlignment="1">
      <alignment horizontal="center" vertical="center"/>
    </xf>
    <xf numFmtId="0" fontId="12" fillId="0" borderId="1" xfId="0" applyFont="1" applyBorder="1" applyAlignment="1">
      <alignment vertical="center"/>
    </xf>
    <xf numFmtId="0" fontId="13" fillId="0" borderId="1" xfId="0" applyFont="1" applyBorder="1" applyAlignment="1">
      <alignment vertical="center"/>
    </xf>
    <xf numFmtId="0" fontId="0" fillId="6" borderId="1" xfId="0" applyFill="1" applyBorder="1" applyAlignment="1">
      <alignment vertical="center" wrapText="1"/>
    </xf>
    <xf numFmtId="0" fontId="0" fillId="6" borderId="11" xfId="0" applyFill="1" applyBorder="1" applyAlignment="1">
      <alignment vertical="center" wrapText="1"/>
    </xf>
    <xf numFmtId="0" fontId="5" fillId="0" borderId="10" xfId="1" applyFont="1" applyFill="1" applyBorder="1" applyAlignment="1">
      <alignment vertical="top" wrapText="1"/>
    </xf>
    <xf numFmtId="0" fontId="1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xf>
    <xf numFmtId="0" fontId="14" fillId="5" borderId="0" xfId="0" applyFont="1" applyFill="1" applyAlignment="1">
      <alignment horizontal="center" vertical="center" wrapText="1"/>
    </xf>
    <xf numFmtId="0" fontId="15" fillId="5" borderId="0" xfId="0" applyFont="1" applyFill="1" applyAlignment="1">
      <alignment horizontal="center" vertical="center" wrapText="1"/>
    </xf>
    <xf numFmtId="0" fontId="16" fillId="0" borderId="0" xfId="0" applyFont="1"/>
    <xf numFmtId="0" fontId="15" fillId="5" borderId="0" xfId="0" applyFont="1" applyFill="1" applyAlignment="1">
      <alignment horizontal="left" vertical="top" wrapText="1"/>
    </xf>
    <xf numFmtId="0" fontId="14" fillId="4" borderId="0" xfId="0" applyFont="1" applyFill="1" applyAlignment="1">
      <alignment horizontal="center" vertical="center" wrapText="1"/>
    </xf>
    <xf numFmtId="0" fontId="14" fillId="4" borderId="0" xfId="0" applyFont="1" applyFill="1" applyAlignment="1">
      <alignment horizontal="center" vertical="center"/>
    </xf>
    <xf numFmtId="0" fontId="14" fillId="7" borderId="13" xfId="0" applyFont="1" applyFill="1" applyBorder="1" applyAlignment="1">
      <alignment horizontal="left" vertical="center" wrapText="1"/>
    </xf>
    <xf numFmtId="0" fontId="14" fillId="7" borderId="0" xfId="0" applyFont="1" applyFill="1" applyAlignment="1">
      <alignment horizontal="center" vertical="center" wrapText="1"/>
    </xf>
    <xf numFmtId="0" fontId="14" fillId="9" borderId="7" xfId="0" applyFont="1" applyFill="1" applyBorder="1" applyAlignment="1">
      <alignment horizontal="left" vertical="center" wrapText="1"/>
    </xf>
    <xf numFmtId="0" fontId="14" fillId="9" borderId="0" xfId="0" applyFont="1" applyFill="1" applyAlignment="1">
      <alignment horizontal="center" vertical="center" wrapText="1"/>
    </xf>
    <xf numFmtId="0" fontId="14" fillId="11" borderId="7" xfId="0" applyFont="1" applyFill="1" applyBorder="1" applyAlignment="1">
      <alignment horizontal="left" vertical="center" wrapText="1"/>
    </xf>
    <xf numFmtId="0" fontId="14" fillId="11" borderId="0" xfId="0" applyFont="1" applyFill="1" applyAlignment="1">
      <alignment horizontal="center" vertical="center" wrapText="1"/>
    </xf>
    <xf numFmtId="0" fontId="14" fillId="5" borderId="0" xfId="0" applyFont="1" applyFill="1" applyAlignment="1">
      <alignment horizontal="left" vertical="center" wrapText="1"/>
    </xf>
    <xf numFmtId="0" fontId="14" fillId="10" borderId="0" xfId="0" applyFont="1" applyFill="1" applyAlignment="1">
      <alignment horizontal="center" vertical="center" wrapText="1"/>
    </xf>
    <xf numFmtId="0" fontId="14" fillId="10" borderId="7" xfId="0" applyFont="1" applyFill="1" applyBorder="1" applyAlignment="1">
      <alignment horizontal="center" vertical="center" wrapText="1"/>
    </xf>
    <xf numFmtId="0" fontId="14" fillId="12" borderId="0" xfId="0" applyFont="1" applyFill="1" applyAlignment="1">
      <alignment horizontal="center" vertical="center" wrapText="1"/>
    </xf>
    <xf numFmtId="0" fontId="14" fillId="22" borderId="0" xfId="0" applyFont="1" applyFill="1" applyAlignment="1">
      <alignment horizontal="center" vertical="center" wrapText="1"/>
    </xf>
    <xf numFmtId="0" fontId="14" fillId="20" borderId="0" xfId="0" applyFont="1" applyFill="1" applyAlignment="1">
      <alignment horizontal="center" vertical="center" wrapText="1"/>
    </xf>
    <xf numFmtId="0" fontId="14" fillId="21" borderId="0" xfId="0" applyFont="1" applyFill="1" applyAlignment="1">
      <alignment horizontal="center" vertical="center" wrapText="1"/>
    </xf>
    <xf numFmtId="0" fontId="14" fillId="21" borderId="13" xfId="0" applyFont="1" applyFill="1" applyBorder="1" applyAlignment="1">
      <alignment horizontal="left" vertical="center" wrapText="1"/>
    </xf>
    <xf numFmtId="0" fontId="14" fillId="19" borderId="0" xfId="0" applyFont="1" applyFill="1" applyAlignment="1">
      <alignment horizontal="center" vertical="center" wrapText="1"/>
    </xf>
    <xf numFmtId="0" fontId="14" fillId="18" borderId="0" xfId="0" applyFont="1" applyFill="1" applyAlignment="1">
      <alignment horizontal="center" vertical="center" wrapText="1"/>
    </xf>
    <xf numFmtId="0" fontId="14" fillId="18" borderId="13" xfId="0" applyFont="1" applyFill="1" applyBorder="1" applyAlignment="1">
      <alignment horizontal="left" vertical="center" wrapText="1"/>
    </xf>
    <xf numFmtId="0" fontId="14" fillId="19" borderId="13" xfId="0" applyFont="1" applyFill="1" applyBorder="1" applyAlignment="1">
      <alignment horizontal="left" vertical="center" wrapText="1"/>
    </xf>
    <xf numFmtId="0" fontId="14" fillId="17" borderId="0" xfId="0" applyFont="1" applyFill="1" applyAlignment="1">
      <alignment horizontal="center" vertical="center" wrapText="1"/>
    </xf>
    <xf numFmtId="0" fontId="14" fillId="17" borderId="0" xfId="0" applyFont="1" applyFill="1" applyAlignment="1">
      <alignment vertical="center" wrapText="1"/>
    </xf>
    <xf numFmtId="0" fontId="14" fillId="17" borderId="0" xfId="0" applyFont="1" applyFill="1" applyAlignment="1">
      <alignment horizontal="left" vertical="center" wrapText="1"/>
    </xf>
    <xf numFmtId="0" fontId="14" fillId="18" borderId="0" xfId="0" applyFont="1" applyFill="1" applyAlignment="1">
      <alignment horizontal="left" vertical="center" wrapText="1"/>
    </xf>
    <xf numFmtId="0" fontId="14" fillId="19" borderId="0" xfId="0" applyFont="1" applyFill="1" applyAlignment="1">
      <alignment horizontal="left" vertical="center" wrapText="1"/>
    </xf>
    <xf numFmtId="0" fontId="14" fillId="21" borderId="0" xfId="0" applyFont="1" applyFill="1" applyAlignment="1">
      <alignment horizontal="left" vertical="center" wrapText="1"/>
    </xf>
    <xf numFmtId="0" fontId="14" fillId="20" borderId="0" xfId="0" applyFont="1" applyFill="1" applyAlignment="1">
      <alignment horizontal="left" vertical="center" wrapText="1"/>
    </xf>
    <xf numFmtId="0" fontId="14" fillId="20" borderId="13" xfId="0" applyFont="1" applyFill="1" applyBorder="1" applyAlignment="1">
      <alignment horizontal="left" vertical="center" wrapText="1"/>
    </xf>
    <xf numFmtId="0" fontId="14" fillId="22" borderId="0" xfId="0" applyFont="1" applyFill="1" applyAlignment="1">
      <alignment horizontal="left" vertical="center" wrapText="1"/>
    </xf>
    <xf numFmtId="0" fontId="14" fillId="22" borderId="13" xfId="0" applyFont="1" applyFill="1" applyBorder="1" applyAlignment="1">
      <alignment horizontal="left" vertical="center" wrapText="1"/>
    </xf>
    <xf numFmtId="0" fontId="14" fillId="17" borderId="7" xfId="0" applyFont="1" applyFill="1" applyBorder="1" applyAlignment="1">
      <alignment vertical="center" wrapText="1"/>
    </xf>
    <xf numFmtId="0" fontId="14" fillId="7" borderId="0" xfId="0" applyFont="1" applyFill="1" applyAlignment="1">
      <alignment horizontal="left" vertical="center" wrapText="1"/>
    </xf>
    <xf numFmtId="0" fontId="14" fillId="16" borderId="0" xfId="0" applyFont="1" applyFill="1" applyAlignment="1">
      <alignment horizontal="center" vertical="center" wrapText="1"/>
    </xf>
    <xf numFmtId="0" fontId="14" fillId="16" borderId="0" xfId="0" applyFont="1" applyFill="1" applyAlignment="1">
      <alignment horizontal="left" vertical="center" wrapText="1"/>
    </xf>
    <xf numFmtId="0" fontId="14" fillId="15" borderId="0" xfId="0" applyFont="1" applyFill="1" applyAlignment="1">
      <alignment horizontal="left" vertical="top" wrapText="1"/>
    </xf>
    <xf numFmtId="0" fontId="14" fillId="15" borderId="0" xfId="0" applyFont="1" applyFill="1" applyAlignment="1">
      <alignment horizontal="center" vertical="center" wrapText="1"/>
    </xf>
    <xf numFmtId="0" fontId="14" fillId="15" borderId="13" xfId="0" applyFont="1" applyFill="1" applyBorder="1" applyAlignment="1">
      <alignment horizontal="left" vertical="center" wrapText="1"/>
    </xf>
    <xf numFmtId="0" fontId="14" fillId="15" borderId="0" xfId="0" applyFont="1" applyFill="1" applyAlignment="1">
      <alignment horizontal="left" vertical="center" wrapText="1"/>
    </xf>
    <xf numFmtId="0" fontId="2" fillId="0" borderId="1" xfId="0" applyFont="1" applyBorder="1" applyAlignment="1">
      <alignment horizontal="left" vertical="center"/>
    </xf>
    <xf numFmtId="0" fontId="0" fillId="0" borderId="0" xfId="0" applyAlignment="1">
      <alignment horizontal="left" vertical="center"/>
    </xf>
    <xf numFmtId="0" fontId="14" fillId="14" borderId="0" xfId="0" applyFont="1" applyFill="1" applyAlignment="1">
      <alignment horizontal="center" vertical="center" wrapText="1"/>
    </xf>
    <xf numFmtId="0" fontId="14" fillId="14" borderId="0" xfId="0" applyFont="1" applyFill="1" applyAlignment="1">
      <alignment horizontal="left" vertical="center" wrapText="1"/>
    </xf>
    <xf numFmtId="0" fontId="0" fillId="13" borderId="0" xfId="0" applyFill="1"/>
    <xf numFmtId="0" fontId="14" fillId="13" borderId="0" xfId="0" applyFont="1" applyFill="1" applyAlignment="1">
      <alignment horizontal="center" vertical="center" wrapText="1"/>
    </xf>
    <xf numFmtId="0" fontId="14" fillId="13" borderId="0" xfId="0" applyFont="1" applyFill="1" applyAlignment="1">
      <alignment horizontal="left" vertical="center" wrapText="1"/>
    </xf>
    <xf numFmtId="0" fontId="14" fillId="13" borderId="7" xfId="0" applyFont="1" applyFill="1" applyBorder="1" applyAlignment="1">
      <alignment horizontal="left" vertical="center" wrapText="1"/>
    </xf>
    <xf numFmtId="0" fontId="14" fillId="14" borderId="7" xfId="0" applyFont="1" applyFill="1" applyBorder="1" applyAlignment="1">
      <alignment horizontal="center" vertical="center" wrapText="1"/>
    </xf>
    <xf numFmtId="0" fontId="14" fillId="16" borderId="7" xfId="0" applyFont="1" applyFill="1" applyBorder="1" applyAlignment="1">
      <alignment horizontal="left" vertical="center" wrapText="1"/>
    </xf>
    <xf numFmtId="0" fontId="14" fillId="12" borderId="7" xfId="0" applyFont="1" applyFill="1" applyBorder="1" applyAlignment="1">
      <alignment horizontal="left" vertical="center" wrapText="1"/>
    </xf>
    <xf numFmtId="0" fontId="14" fillId="12" borderId="0" xfId="0" applyFont="1" applyFill="1" applyAlignment="1">
      <alignment horizontal="left" vertical="center" wrapText="1"/>
    </xf>
    <xf numFmtId="0" fontId="14" fillId="11" borderId="0" xfId="0" applyFont="1" applyFill="1" applyAlignment="1">
      <alignment horizontal="left" vertical="center" wrapText="1"/>
    </xf>
    <xf numFmtId="0" fontId="14" fillId="10" borderId="0" xfId="0" applyFont="1" applyFill="1" applyAlignment="1">
      <alignment horizontal="left" vertical="center" wrapText="1"/>
    </xf>
    <xf numFmtId="0" fontId="14" fillId="9" borderId="0" xfId="0" applyFont="1" applyFill="1" applyAlignment="1">
      <alignment horizontal="left" vertical="center" wrapText="1"/>
    </xf>
    <xf numFmtId="0" fontId="17" fillId="0" borderId="1" xfId="0" applyFont="1" applyBorder="1" applyAlignment="1">
      <alignment horizontal="left" vertical="top" wrapText="1"/>
    </xf>
    <xf numFmtId="0" fontId="3" fillId="0" borderId="12" xfId="0" applyFont="1" applyBorder="1" applyAlignment="1">
      <alignment vertical="center"/>
    </xf>
    <xf numFmtId="0" fontId="3" fillId="0" borderId="13" xfId="0" applyFont="1" applyBorder="1" applyAlignment="1">
      <alignment vertical="center"/>
    </xf>
    <xf numFmtId="0" fontId="0" fillId="6" borderId="6" xfId="0" applyFill="1" applyBorder="1" applyAlignment="1">
      <alignment horizontal="center" vertical="center"/>
    </xf>
    <xf numFmtId="0" fontId="0" fillId="0" borderId="13" xfId="0" applyBorder="1" applyAlignment="1">
      <alignment horizontal="center" vertical="center"/>
    </xf>
    <xf numFmtId="0" fontId="17" fillId="0" borderId="1" xfId="1" applyFont="1" applyFill="1" applyBorder="1" applyAlignment="1">
      <alignment horizontal="left" vertical="top" wrapText="1"/>
    </xf>
    <xf numFmtId="0" fontId="0" fillId="0" borderId="16" xfId="0" applyBorder="1"/>
    <xf numFmtId="0" fontId="3" fillId="0" borderId="0" xfId="0" applyFont="1" applyAlignment="1">
      <alignment vertical="center"/>
    </xf>
    <xf numFmtId="0" fontId="18" fillId="0" borderId="0" xfId="0" applyFont="1" applyAlignment="1">
      <alignment horizontal="left" vertical="top" wrapText="1"/>
    </xf>
    <xf numFmtId="0" fontId="5" fillId="2" borderId="0" xfId="1" applyFont="1" applyFill="1" applyAlignment="1">
      <alignment horizontal="left" vertical="top" wrapText="1"/>
    </xf>
    <xf numFmtId="0" fontId="5" fillId="3" borderId="0" xfId="1" applyFont="1" applyAlignment="1">
      <alignment horizontal="left" vertical="top"/>
    </xf>
    <xf numFmtId="0" fontId="5" fillId="0" borderId="0" xfId="1" applyFont="1" applyFill="1" applyAlignment="1">
      <alignment horizontal="left" vertical="top"/>
    </xf>
    <xf numFmtId="0" fontId="3" fillId="0" borderId="0" xfId="0" applyFont="1" applyAlignment="1">
      <alignment horizontal="left" vertical="top"/>
    </xf>
    <xf numFmtId="0" fontId="5" fillId="3" borderId="0" xfId="1" applyFont="1" applyAlignment="1">
      <alignment horizontal="left" vertical="top" wrapText="1"/>
    </xf>
    <xf numFmtId="0" fontId="5" fillId="2" borderId="0" xfId="1" applyFont="1" applyFill="1" applyAlignment="1">
      <alignment horizontal="left" vertical="top"/>
    </xf>
    <xf numFmtId="0" fontId="7" fillId="0" borderId="1" xfId="0" applyFont="1" applyBorder="1" applyAlignment="1">
      <alignment horizontal="left" vertical="top"/>
    </xf>
    <xf numFmtId="0" fontId="3" fillId="0" borderId="1" xfId="0" applyFont="1" applyBorder="1"/>
    <xf numFmtId="0" fontId="11" fillId="0" borderId="9" xfId="0" applyFont="1" applyBorder="1" applyAlignment="1">
      <alignment horizontal="center" vertical="center"/>
    </xf>
    <xf numFmtId="0" fontId="11" fillId="0" borderId="11" xfId="0" applyFont="1" applyBorder="1" applyAlignment="1">
      <alignment horizontal="center" vertical="center"/>
    </xf>
    <xf numFmtId="0" fontId="11" fillId="0" borderId="10" xfId="0" applyFont="1" applyBorder="1" applyAlignment="1">
      <alignment horizontal="center" vertical="center"/>
    </xf>
    <xf numFmtId="0" fontId="3"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0" fillId="6" borderId="13" xfId="0" applyFill="1" applyBorder="1" applyAlignment="1">
      <alignment horizontal="center" vertical="center"/>
    </xf>
    <xf numFmtId="0" fontId="0" fillId="6" borderId="9" xfId="0" applyFill="1" applyBorder="1"/>
    <xf numFmtId="0" fontId="0" fillId="6" borderId="11" xfId="0" applyFill="1" applyBorder="1"/>
    <xf numFmtId="0" fontId="0" fillId="6" borderId="10" xfId="0" applyFill="1" applyBorder="1"/>
    <xf numFmtId="0" fontId="3" fillId="6"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0" fillId="6" borderId="2" xfId="0" applyFill="1" applyBorder="1" applyAlignment="1">
      <alignment horizontal="center" vertical="center"/>
    </xf>
    <xf numFmtId="0" fontId="0" fillId="6" borderId="7" xfId="0" applyFill="1" applyBorder="1" applyAlignment="1">
      <alignment horizontal="center" vertical="center"/>
    </xf>
    <xf numFmtId="0" fontId="0" fillId="6" borderId="4" xfId="0" applyFill="1" applyBorder="1" applyAlignment="1">
      <alignment horizontal="center" vertical="center"/>
    </xf>
    <xf numFmtId="0" fontId="0" fillId="6" borderId="8" xfId="0" applyFill="1" applyBorder="1" applyAlignment="1">
      <alignment horizontal="center" vertical="center"/>
    </xf>
    <xf numFmtId="0" fontId="2" fillId="6" borderId="12" xfId="1" applyFont="1" applyFill="1" applyBorder="1" applyAlignment="1"/>
    <xf numFmtId="0" fontId="2" fillId="6" borderId="13" xfId="1" applyFont="1" applyFill="1" applyBorder="1" applyAlignment="1"/>
    <xf numFmtId="0" fontId="0" fillId="6" borderId="0" xfId="0" applyFill="1"/>
    <xf numFmtId="0" fontId="0" fillId="0" borderId="1" xfId="0" applyBorder="1" applyAlignment="1">
      <alignment horizontal="left" vertical="top" wrapText="1"/>
    </xf>
    <xf numFmtId="0" fontId="0" fillId="0" borderId="1" xfId="0" applyBorder="1" applyAlignment="1">
      <alignment vertical="top"/>
    </xf>
    <xf numFmtId="0" fontId="0" fillId="0" borderId="11" xfId="0" applyBorder="1" applyAlignment="1">
      <alignment horizontal="left" vertical="top" wrapText="1"/>
    </xf>
    <xf numFmtId="0" fontId="0" fillId="0" borderId="9" xfId="0" applyBorder="1" applyAlignment="1">
      <alignment horizontal="left" vertical="top" wrapText="1"/>
    </xf>
    <xf numFmtId="0" fontId="2" fillId="0" borderId="10" xfId="1" applyFont="1" applyFill="1" applyBorder="1" applyAlignment="1">
      <alignment wrapText="1"/>
    </xf>
    <xf numFmtId="0" fontId="0" fillId="0" borderId="16" xfId="0" applyBorder="1" applyAlignment="1">
      <alignment horizontal="left" vertical="top" wrapText="1"/>
    </xf>
    <xf numFmtId="0" fontId="3" fillId="0" borderId="1" xfId="0" applyFont="1" applyBorder="1" applyAlignment="1">
      <alignment vertical="center" wrapText="1"/>
    </xf>
    <xf numFmtId="0" fontId="3" fillId="0" borderId="10" xfId="0" applyFont="1" applyBorder="1" applyAlignment="1">
      <alignment vertical="center" wrapText="1"/>
    </xf>
    <xf numFmtId="0" fontId="3" fillId="0" borderId="19" xfId="0" applyFont="1" applyBorder="1" applyAlignment="1">
      <alignment horizontal="center" vertical="center"/>
    </xf>
    <xf numFmtId="0" fontId="0" fillId="6" borderId="0" xfId="0" applyFill="1" applyAlignment="1">
      <alignment vertical="center"/>
    </xf>
    <xf numFmtId="0" fontId="3" fillId="3" borderId="0" xfId="1" applyFont="1"/>
    <xf numFmtId="0" fontId="3" fillId="0" borderId="0" xfId="1" applyFont="1" applyFill="1"/>
    <xf numFmtId="0" fontId="3" fillId="3" borderId="0" xfId="1" applyFont="1" applyAlignment="1">
      <alignment vertical="center"/>
    </xf>
    <xf numFmtId="0" fontId="3" fillId="0" borderId="0" xfId="1" applyFont="1" applyFill="1" applyAlignment="1">
      <alignment vertical="center"/>
    </xf>
    <xf numFmtId="0" fontId="0" fillId="0" borderId="0" xfId="0" applyAlignment="1">
      <alignment horizontal="left" vertical="top"/>
    </xf>
    <xf numFmtId="0" fontId="2" fillId="0" borderId="10" xfId="0" applyFont="1" applyBorder="1" applyAlignment="1">
      <alignment horizontal="left" vertical="top"/>
    </xf>
    <xf numFmtId="0" fontId="3" fillId="3" borderId="1" xfId="1" applyFont="1" applyBorder="1" applyAlignment="1">
      <alignment horizontal="center" vertical="center"/>
    </xf>
    <xf numFmtId="0" fontId="6" fillId="3" borderId="1" xfId="1" applyBorder="1" applyAlignment="1">
      <alignment horizontal="center" vertical="center"/>
    </xf>
    <xf numFmtId="0" fontId="5" fillId="0" borderId="1" xfId="0" applyFont="1" applyBorder="1" applyAlignment="1">
      <alignment horizontal="left" vertical="top"/>
    </xf>
    <xf numFmtId="0" fontId="3" fillId="2" borderId="1" xfId="0" applyFont="1" applyFill="1" applyBorder="1" applyAlignment="1">
      <alignment horizontal="left" vertical="top"/>
    </xf>
    <xf numFmtId="0" fontId="3" fillId="3" borderId="1" xfId="1" applyFont="1" applyBorder="1" applyAlignment="1">
      <alignment horizontal="left" vertical="center" wrapText="1"/>
    </xf>
    <xf numFmtId="0" fontId="0" fillId="0" borderId="0" xfId="0" applyAlignment="1">
      <alignment horizontal="left" vertical="top" wrapText="1"/>
    </xf>
    <xf numFmtId="0" fontId="0" fillId="0" borderId="22" xfId="0" applyBorder="1"/>
    <xf numFmtId="0" fontId="0" fillId="2" borderId="1" xfId="0" applyFill="1" applyBorder="1"/>
    <xf numFmtId="0" fontId="19" fillId="0" borderId="1" xfId="0" applyFont="1" applyBorder="1" applyAlignment="1">
      <alignment horizontal="left" vertical="top" wrapText="1"/>
    </xf>
    <xf numFmtId="0" fontId="20" fillId="0" borderId="0" xfId="0" applyFont="1" applyAlignment="1">
      <alignment horizontal="left" vertical="center" wrapText="1"/>
    </xf>
    <xf numFmtId="0" fontId="0" fillId="0" borderId="0" xfId="0" applyAlignment="1">
      <alignment wrapText="1"/>
    </xf>
    <xf numFmtId="0" fontId="5" fillId="0" borderId="4" xfId="1" applyFont="1" applyFill="1" applyBorder="1" applyAlignment="1">
      <alignment wrapText="1"/>
    </xf>
    <xf numFmtId="0" fontId="5" fillId="0" borderId="12" xfId="1" applyFont="1" applyFill="1" applyBorder="1"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3" fillId="0" borderId="12" xfId="0" applyFont="1" applyBorder="1" applyAlignment="1">
      <alignment vertical="top"/>
    </xf>
    <xf numFmtId="0" fontId="3" fillId="0" borderId="12" xfId="0" applyFont="1"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vertical="top"/>
    </xf>
    <xf numFmtId="0" fontId="2" fillId="0" borderId="1" xfId="0" applyFont="1" applyBorder="1" applyAlignment="1">
      <alignment vertical="top" wrapText="1"/>
    </xf>
    <xf numFmtId="0" fontId="0" fillId="0" borderId="1" xfId="0" applyBorder="1" applyAlignment="1">
      <alignment vertical="top" wrapText="1"/>
    </xf>
    <xf numFmtId="0" fontId="2" fillId="0" borderId="12" xfId="0" applyFont="1" applyBorder="1" applyAlignment="1">
      <alignment wrapText="1"/>
    </xf>
    <xf numFmtId="0" fontId="3" fillId="0" borderId="11" xfId="0" applyFont="1" applyBorder="1" applyAlignment="1">
      <alignment vertical="top" wrapText="1"/>
    </xf>
    <xf numFmtId="0" fontId="5" fillId="0" borderId="4" xfId="1" applyFont="1" applyFill="1" applyBorder="1" applyAlignment="1">
      <alignment vertical="top" wrapText="1"/>
    </xf>
    <xf numFmtId="0" fontId="2" fillId="0" borderId="12" xfId="0" applyFont="1" applyBorder="1" applyAlignment="1">
      <alignment vertical="top" wrapText="1"/>
    </xf>
    <xf numFmtId="0" fontId="0" fillId="0" borderId="8" xfId="0" applyBorder="1" applyAlignment="1">
      <alignment vertical="top" wrapText="1"/>
    </xf>
    <xf numFmtId="0" fontId="3" fillId="0" borderId="12" xfId="0" applyFont="1" applyBorder="1" applyAlignment="1">
      <alignment vertical="top" wrapText="1"/>
    </xf>
    <xf numFmtId="0" fontId="17" fillId="0" borderId="12" xfId="0" applyFont="1" applyBorder="1" applyAlignment="1">
      <alignment horizontal="left" vertical="top" wrapText="1"/>
    </xf>
    <xf numFmtId="0" fontId="5" fillId="0" borderId="1" xfId="1" applyFont="1" applyFill="1" applyBorder="1" applyAlignment="1">
      <alignment vertical="top" wrapText="1"/>
    </xf>
    <xf numFmtId="0" fontId="5" fillId="0" borderId="12" xfId="1" applyFont="1" applyFill="1" applyBorder="1" applyAlignment="1">
      <alignment vertical="top" wrapText="1"/>
    </xf>
    <xf numFmtId="0" fontId="0" fillId="0" borderId="12" xfId="0" applyBorder="1" applyAlignment="1">
      <alignment vertical="top" wrapText="1"/>
    </xf>
    <xf numFmtId="0" fontId="0" fillId="0" borderId="10" xfId="0" applyBorder="1" applyAlignment="1">
      <alignment vertical="top" wrapText="1"/>
    </xf>
    <xf numFmtId="0" fontId="0" fillId="0" borderId="9" xfId="0" applyBorder="1" applyAlignment="1">
      <alignment vertical="top" wrapText="1"/>
    </xf>
    <xf numFmtId="0" fontId="0" fillId="0" borderId="11" xfId="0" applyBorder="1" applyAlignment="1">
      <alignment vertical="top" wrapText="1"/>
    </xf>
    <xf numFmtId="0" fontId="3" fillId="0" borderId="15" xfId="0" applyFont="1" applyBorder="1" applyAlignment="1">
      <alignment horizontal="left" vertical="top" wrapText="1"/>
    </xf>
    <xf numFmtId="0" fontId="5" fillId="0" borderId="12" xfId="1" applyFont="1" applyFill="1" applyBorder="1" applyAlignment="1">
      <alignment wrapText="1"/>
    </xf>
    <xf numFmtId="0" fontId="2" fillId="0" borderId="0" xfId="0" applyFont="1" applyAlignment="1">
      <alignment vertical="top"/>
    </xf>
    <xf numFmtId="0" fontId="5" fillId="0" borderId="8" xfId="1" applyFont="1" applyFill="1" applyBorder="1" applyAlignment="1">
      <alignment vertical="top" wrapText="1"/>
    </xf>
    <xf numFmtId="0" fontId="3" fillId="0" borderId="14" xfId="0" applyFont="1" applyBorder="1" applyAlignment="1">
      <alignment vertical="top" wrapText="1"/>
    </xf>
    <xf numFmtId="0" fontId="0" fillId="0" borderId="5" xfId="0" applyBorder="1" applyAlignment="1">
      <alignment vertical="top" wrapText="1"/>
    </xf>
    <xf numFmtId="0" fontId="3" fillId="0" borderId="14" xfId="0" applyFont="1" applyBorder="1" applyAlignment="1">
      <alignment horizontal="left" vertical="top" wrapText="1"/>
    </xf>
    <xf numFmtId="0" fontId="3" fillId="0" borderId="3" xfId="0" applyFont="1" applyBorder="1" applyAlignment="1">
      <alignment horizontal="left" vertical="top" wrapText="1"/>
    </xf>
    <xf numFmtId="0" fontId="3" fillId="0" borderId="6" xfId="0" applyFont="1" applyBorder="1" applyAlignment="1">
      <alignment horizontal="left" vertical="top" wrapText="1"/>
    </xf>
    <xf numFmtId="0" fontId="3" fillId="0" borderId="5" xfId="0" applyFont="1" applyBorder="1" applyAlignment="1">
      <alignment horizontal="left" vertical="top" wrapText="1"/>
    </xf>
    <xf numFmtId="0" fontId="5" fillId="0" borderId="13" xfId="1" applyFont="1" applyFill="1" applyBorder="1" applyAlignment="1">
      <alignment vertical="top" wrapText="1"/>
    </xf>
    <xf numFmtId="0" fontId="3" fillId="0" borderId="1" xfId="1" applyFont="1" applyFill="1" applyBorder="1" applyAlignment="1">
      <alignment vertical="top" wrapText="1"/>
    </xf>
    <xf numFmtId="0" fontId="3" fillId="0" borderId="12"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17" fillId="0" borderId="14" xfId="0" applyFont="1" applyBorder="1" applyAlignment="1">
      <alignment horizontal="left" vertical="top" wrapText="1"/>
    </xf>
    <xf numFmtId="0" fontId="0" fillId="0" borderId="12" xfId="0" applyBorder="1"/>
    <xf numFmtId="0" fontId="14" fillId="16"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2" fillId="0" borderId="4" xfId="1" applyFont="1" applyFill="1" applyBorder="1" applyAlignment="1">
      <alignment vertical="top" wrapText="1"/>
    </xf>
    <xf numFmtId="0" fontId="0" fillId="0" borderId="15" xfId="0" applyBorder="1" applyAlignment="1">
      <alignment horizontal="left" vertical="top" wrapText="1"/>
    </xf>
    <xf numFmtId="0" fontId="0" fillId="0" borderId="2" xfId="0" applyBorder="1" applyAlignment="1">
      <alignment horizontal="left" vertical="top" wrapText="1"/>
    </xf>
    <xf numFmtId="0" fontId="5" fillId="0" borderId="7" xfId="1" applyFont="1" applyFill="1" applyBorder="1" applyAlignment="1">
      <alignment wrapText="1"/>
    </xf>
    <xf numFmtId="0" fontId="0" fillId="0" borderId="14" xfId="0" applyBorder="1" applyAlignment="1">
      <alignment horizontal="left" vertical="top" wrapText="1"/>
    </xf>
    <xf numFmtId="0" fontId="0" fillId="0" borderId="6"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2" fillId="0" borderId="8" xfId="1" applyFont="1" applyFill="1" applyBorder="1" applyAlignment="1">
      <alignment wrapText="1"/>
    </xf>
    <xf numFmtId="0" fontId="6" fillId="0" borderId="1" xfId="1" applyFill="1" applyBorder="1" applyAlignment="1">
      <alignment vertical="top" wrapText="1"/>
    </xf>
    <xf numFmtId="0" fontId="2" fillId="0" borderId="1" xfId="0" applyFont="1" applyBorder="1" applyAlignment="1">
      <alignment horizontal="left" vertical="top" wrapText="1"/>
    </xf>
    <xf numFmtId="0" fontId="2" fillId="0" borderId="1" xfId="1" applyFont="1" applyFill="1"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3" fillId="0" borderId="15" xfId="0" applyFont="1" applyBorder="1" applyAlignment="1">
      <alignment vertical="center"/>
    </xf>
    <xf numFmtId="0" fontId="3" fillId="0" borderId="2" xfId="0" applyFont="1" applyBorder="1" applyAlignment="1">
      <alignment vertical="center"/>
    </xf>
    <xf numFmtId="0" fontId="0" fillId="0" borderId="26" xfId="0" applyBorder="1"/>
    <xf numFmtId="0" fontId="0" fillId="0" borderId="27" xfId="0" applyBorder="1"/>
    <xf numFmtId="0" fontId="14" fillId="22" borderId="1" xfId="0" applyFont="1" applyFill="1" applyBorder="1" applyAlignment="1">
      <alignment horizontal="center" vertical="center" wrapText="1"/>
    </xf>
    <xf numFmtId="0" fontId="14" fillId="10" borderId="1" xfId="0" applyFont="1" applyFill="1" applyBorder="1" applyAlignment="1">
      <alignment horizontal="left" vertical="center" wrapText="1"/>
    </xf>
    <xf numFmtId="0" fontId="14" fillId="16" borderId="0" xfId="0" applyFont="1" applyFill="1" applyAlignment="1">
      <alignment horizontal="left" vertical="top" wrapText="1"/>
    </xf>
    <xf numFmtId="0" fontId="3" fillId="0" borderId="0" xfId="0" applyFont="1" applyAlignment="1">
      <alignment vertical="top"/>
    </xf>
    <xf numFmtId="0" fontId="17" fillId="0" borderId="0" xfId="0" applyFont="1" applyAlignment="1">
      <alignment horizontal="left" vertical="top" wrapText="1"/>
    </xf>
    <xf numFmtId="0" fontId="22" fillId="23" borderId="0" xfId="0" applyFont="1" applyFill="1" applyAlignment="1">
      <alignment horizontal="center" vertical="center" wrapText="1"/>
    </xf>
    <xf numFmtId="164" fontId="0" fillId="0" borderId="0" xfId="0" applyNumberFormat="1" applyAlignment="1">
      <alignment vertical="top" wrapText="1"/>
    </xf>
    <xf numFmtId="0" fontId="22" fillId="26" borderId="0" xfId="0" applyFont="1" applyFill="1" applyAlignment="1">
      <alignment horizontal="center" vertical="center"/>
    </xf>
    <xf numFmtId="0" fontId="26" fillId="27" borderId="0" xfId="0" applyFont="1" applyFill="1" applyAlignment="1">
      <alignment horizontal="center" vertical="center"/>
    </xf>
    <xf numFmtId="0" fontId="0" fillId="0" borderId="9"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xf>
    <xf numFmtId="0" fontId="3"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3" fillId="0" borderId="2" xfId="0" applyFont="1" applyBorder="1" applyAlignment="1">
      <alignment horizontal="center" vertical="center"/>
    </xf>
    <xf numFmtId="0" fontId="3" fillId="0" borderId="15" xfId="0" applyFont="1" applyBorder="1" applyAlignment="1">
      <alignment horizontal="center" vertical="center"/>
    </xf>
    <xf numFmtId="0" fontId="3" fillId="0" borderId="4" xfId="0" applyFont="1" applyBorder="1" applyAlignment="1">
      <alignment horizontal="center" vertical="center"/>
    </xf>
    <xf numFmtId="0" fontId="3" fillId="6" borderId="1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11" xfId="0" applyFont="1" applyFill="1" applyBorder="1" applyAlignment="1">
      <alignment horizontal="center" vertical="center"/>
    </xf>
    <xf numFmtId="0" fontId="3" fillId="0" borderId="3" xfId="0" applyFont="1" applyBorder="1" applyAlignment="1">
      <alignment horizontal="center" vertical="center"/>
    </xf>
    <xf numFmtId="0" fontId="14" fillId="9" borderId="0" xfId="0" applyFont="1" applyFill="1" applyAlignment="1">
      <alignment horizontal="center" vertical="center" wrapText="1"/>
    </xf>
    <xf numFmtId="0" fontId="3" fillId="6" borderId="12"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5" fillId="6" borderId="12" xfId="1" applyFont="1" applyFill="1" applyBorder="1" applyAlignment="1"/>
    <xf numFmtId="0" fontId="5" fillId="6" borderId="13" xfId="1" applyFont="1" applyFill="1" applyBorder="1" applyAlignment="1"/>
    <xf numFmtId="0" fontId="3" fillId="6" borderId="10" xfId="0" applyFont="1" applyFill="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top"/>
    </xf>
    <xf numFmtId="0" fontId="0" fillId="0" borderId="9"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left" vertical="top"/>
    </xf>
    <xf numFmtId="0" fontId="15" fillId="5" borderId="0" xfId="0" applyFont="1" applyFill="1" applyAlignment="1">
      <alignment horizontal="center" vertical="center" wrapText="1"/>
    </xf>
    <xf numFmtId="0" fontId="6" fillId="6" borderId="2" xfId="1" applyFill="1" applyBorder="1" applyAlignment="1"/>
    <xf numFmtId="0" fontId="6" fillId="6" borderId="7" xfId="1" applyFill="1" applyBorder="1" applyAlignment="1"/>
    <xf numFmtId="0" fontId="6" fillId="6" borderId="4" xfId="1" applyFill="1" applyBorder="1" applyAlignment="1"/>
    <xf numFmtId="0" fontId="6" fillId="6" borderId="8" xfId="1" applyFill="1" applyBorder="1" applyAlignment="1"/>
    <xf numFmtId="0" fontId="0" fillId="6" borderId="2" xfId="0" applyFill="1" applyBorder="1" applyAlignment="1">
      <alignment horizontal="center" vertical="center"/>
    </xf>
    <xf numFmtId="0" fontId="0" fillId="6" borderId="7" xfId="0" applyFill="1" applyBorder="1" applyAlignment="1">
      <alignment horizontal="center" vertical="center"/>
    </xf>
    <xf numFmtId="0" fontId="0" fillId="6" borderId="4" xfId="0" applyFill="1" applyBorder="1" applyAlignment="1">
      <alignment horizontal="center" vertical="center"/>
    </xf>
    <xf numFmtId="0" fontId="0" fillId="6" borderId="8" xfId="0" applyFill="1" applyBorder="1" applyAlignment="1">
      <alignment horizontal="center" vertical="center"/>
    </xf>
    <xf numFmtId="0" fontId="2" fillId="6" borderId="12" xfId="1" applyFont="1" applyFill="1" applyBorder="1" applyAlignment="1"/>
    <xf numFmtId="0" fontId="2" fillId="6" borderId="13" xfId="1" applyFont="1" applyFill="1" applyBorder="1" applyAlignment="1"/>
    <xf numFmtId="0" fontId="0" fillId="0" borderId="3" xfId="0" applyBorder="1" applyAlignment="1">
      <alignment horizontal="left" vertical="top"/>
    </xf>
    <xf numFmtId="0" fontId="0" fillId="0" borderId="6" xfId="0" applyBorder="1" applyAlignment="1">
      <alignment horizontal="left" vertical="top"/>
    </xf>
    <xf numFmtId="0" fontId="0" fillId="0" borderId="5" xfId="0" applyBorder="1" applyAlignment="1">
      <alignment horizontal="left" vertical="top"/>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12" xfId="0" applyFill="1" applyBorder="1" applyAlignment="1">
      <alignment horizontal="center" vertical="center"/>
    </xf>
    <xf numFmtId="0" fontId="0" fillId="6" borderId="13" xfId="0"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3" fillId="0" borderId="9" xfId="0" applyFont="1" applyBorder="1" applyAlignment="1">
      <alignment horizontal="left" vertical="top" wrapText="1"/>
    </xf>
    <xf numFmtId="0" fontId="3" fillId="0" borderId="11" xfId="0" applyFont="1" applyBorder="1" applyAlignment="1">
      <alignment horizontal="left" vertical="top"/>
    </xf>
    <xf numFmtId="0" fontId="3" fillId="0" borderId="10" xfId="0" applyFont="1" applyBorder="1" applyAlignment="1">
      <alignment horizontal="left" vertical="top"/>
    </xf>
    <xf numFmtId="0" fontId="0" fillId="6" borderId="11" xfId="0" applyFill="1" applyBorder="1" applyAlignment="1">
      <alignment horizontal="center" vertical="center"/>
    </xf>
    <xf numFmtId="0" fontId="0" fillId="8" borderId="9" xfId="0" applyFill="1" applyBorder="1" applyAlignment="1">
      <alignment horizontal="center" vertical="center"/>
    </xf>
    <xf numFmtId="0" fontId="0" fillId="8" borderId="11" xfId="0" applyFill="1" applyBorder="1" applyAlignment="1">
      <alignment horizontal="center" vertical="center"/>
    </xf>
    <xf numFmtId="0" fontId="0" fillId="8" borderId="10" xfId="0" applyFill="1" applyBorder="1" applyAlignment="1">
      <alignment horizontal="center" vertical="center"/>
    </xf>
    <xf numFmtId="0" fontId="14" fillId="7" borderId="8" xfId="0" applyFont="1" applyFill="1" applyBorder="1" applyAlignment="1">
      <alignment horizontal="center" vertical="center" wrapText="1"/>
    </xf>
    <xf numFmtId="0" fontId="6" fillId="6" borderId="2" xfId="1" applyFill="1" applyBorder="1" applyAlignment="1">
      <alignment horizontal="center"/>
    </xf>
    <xf numFmtId="0" fontId="6" fillId="6" borderId="4" xfId="1" applyFill="1" applyBorder="1" applyAlignment="1">
      <alignment horizontal="center"/>
    </xf>
    <xf numFmtId="0" fontId="6" fillId="0" borderId="2" xfId="1" applyFill="1" applyBorder="1" applyAlignment="1">
      <alignment horizontal="center"/>
    </xf>
    <xf numFmtId="0" fontId="6" fillId="0" borderId="4" xfId="1" applyFill="1" applyBorder="1" applyAlignment="1">
      <alignment horizontal="center"/>
    </xf>
    <xf numFmtId="0" fontId="6" fillId="0" borderId="9" xfId="1" applyFill="1" applyBorder="1" applyAlignment="1">
      <alignment horizontal="center"/>
    </xf>
    <xf numFmtId="0" fontId="6" fillId="0" borderId="10" xfId="1" applyFill="1" applyBorder="1" applyAlignment="1">
      <alignment horizontal="center"/>
    </xf>
    <xf numFmtId="0" fontId="0" fillId="6" borderId="12"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2" xfId="0" applyFill="1" applyBorder="1" applyAlignment="1">
      <alignment horizontal="center" vertical="center" wrapText="1"/>
    </xf>
    <xf numFmtId="0" fontId="0" fillId="6" borderId="7" xfId="0" applyFill="1" applyBorder="1" applyAlignment="1">
      <alignment horizontal="center" vertical="center" wrapText="1"/>
    </xf>
    <xf numFmtId="0" fontId="0" fillId="6" borderId="4" xfId="0" applyFill="1" applyBorder="1" applyAlignment="1">
      <alignment horizontal="center" vertical="center" wrapText="1"/>
    </xf>
    <xf numFmtId="0" fontId="0" fillId="6" borderId="8" xfId="0" applyFill="1" applyBorder="1" applyAlignment="1">
      <alignment horizontal="center" vertical="center" wrapText="1"/>
    </xf>
    <xf numFmtId="0" fontId="2" fillId="6" borderId="15" xfId="1" applyFont="1" applyFill="1" applyBorder="1" applyAlignment="1">
      <alignment horizontal="center"/>
    </xf>
    <xf numFmtId="0" fontId="2" fillId="6" borderId="0" xfId="1" applyFont="1" applyFill="1" applyBorder="1" applyAlignment="1">
      <alignment horizontal="center"/>
    </xf>
    <xf numFmtId="0" fontId="2" fillId="6" borderId="4" xfId="1" applyFont="1" applyFill="1" applyBorder="1" applyAlignment="1">
      <alignment horizontal="center"/>
    </xf>
    <xf numFmtId="0" fontId="2" fillId="6" borderId="8" xfId="1" applyFont="1" applyFill="1" applyBorder="1" applyAlignment="1">
      <alignment horizontal="center"/>
    </xf>
    <xf numFmtId="0" fontId="3" fillId="6" borderId="2"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8" xfId="0" applyFont="1" applyFill="1" applyBorder="1" applyAlignment="1">
      <alignment horizontal="center" vertical="center"/>
    </xf>
    <xf numFmtId="0" fontId="0" fillId="0" borderId="11" xfId="0" applyBorder="1" applyAlignment="1">
      <alignment horizontal="center" vertical="center"/>
    </xf>
    <xf numFmtId="0" fontId="21" fillId="23" borderId="0" xfId="0" applyFont="1" applyFill="1" applyAlignment="1">
      <alignment horizontal="center" vertical="center"/>
    </xf>
    <xf numFmtId="0" fontId="14" fillId="11" borderId="0" xfId="0" applyFont="1" applyFill="1" applyAlignment="1">
      <alignment horizontal="center" vertical="center" wrapText="1"/>
    </xf>
    <xf numFmtId="0" fontId="14" fillId="10" borderId="8"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0" fillId="6" borderId="15" xfId="0" applyFill="1" applyBorder="1" applyAlignment="1">
      <alignment horizontal="center" vertical="center" wrapText="1"/>
    </xf>
    <xf numFmtId="0" fontId="0" fillId="6" borderId="0" xfId="0" applyFill="1" applyAlignment="1">
      <alignment horizontal="center" vertical="center" wrapText="1"/>
    </xf>
    <xf numFmtId="0" fontId="14" fillId="12" borderId="8"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14" fillId="13" borderId="8" xfId="0" applyFont="1" applyFill="1" applyBorder="1" applyAlignment="1">
      <alignment horizontal="center" vertical="center" wrapText="1"/>
    </xf>
    <xf numFmtId="0" fontId="14" fillId="14" borderId="8" xfId="0" applyFont="1" applyFill="1" applyBorder="1" applyAlignment="1">
      <alignment horizontal="center" vertical="center"/>
    </xf>
    <xf numFmtId="0" fontId="14" fillId="15" borderId="8" xfId="0" applyFont="1" applyFill="1" applyBorder="1" applyAlignment="1">
      <alignment horizontal="center" vertical="center"/>
    </xf>
    <xf numFmtId="0" fontId="14" fillId="16" borderId="8" xfId="0" applyFont="1" applyFill="1" applyBorder="1" applyAlignment="1">
      <alignment horizontal="center" vertical="center" wrapText="1"/>
    </xf>
    <xf numFmtId="0" fontId="14" fillId="7" borderId="8" xfId="0" applyFont="1" applyFill="1" applyBorder="1" applyAlignment="1">
      <alignment horizontal="center" vertical="center"/>
    </xf>
    <xf numFmtId="0" fontId="14" fillId="17" borderId="8" xfId="0" applyFont="1" applyFill="1" applyBorder="1" applyAlignment="1">
      <alignment horizontal="center" vertical="center"/>
    </xf>
    <xf numFmtId="0" fontId="0" fillId="0" borderId="1" xfId="0" applyBorder="1" applyAlignment="1">
      <alignment horizontal="left" vertical="top" wrapText="1"/>
    </xf>
    <xf numFmtId="0" fontId="0" fillId="6" borderId="15" xfId="0" applyFill="1" applyBorder="1" applyAlignment="1">
      <alignment horizontal="center" vertical="center"/>
    </xf>
    <xf numFmtId="0" fontId="0" fillId="6" borderId="0" xfId="0" applyFill="1" applyAlignment="1">
      <alignment horizontal="center" vertical="center"/>
    </xf>
    <xf numFmtId="0" fontId="0" fillId="0" borderId="23" xfId="0" applyBorder="1" applyAlignment="1">
      <alignment horizontal="left" vertical="top"/>
    </xf>
    <xf numFmtId="0" fontId="0" fillId="0" borderId="24" xfId="0" applyBorder="1" applyAlignment="1">
      <alignment horizontal="left" vertical="top"/>
    </xf>
    <xf numFmtId="0" fontId="0" fillId="6" borderId="12" xfId="0" applyFill="1" applyBorder="1" applyAlignment="1">
      <alignment horizontal="center"/>
    </xf>
    <xf numFmtId="0" fontId="0" fillId="6" borderId="13" xfId="0" applyFill="1" applyBorder="1" applyAlignment="1">
      <alignment horizontal="center"/>
    </xf>
    <xf numFmtId="0" fontId="14" fillId="18" borderId="8" xfId="0" applyFont="1" applyFill="1" applyBorder="1" applyAlignment="1">
      <alignment horizontal="center" vertical="center"/>
    </xf>
    <xf numFmtId="0" fontId="3" fillId="0" borderId="20" xfId="0" applyFont="1" applyBorder="1" applyAlignment="1">
      <alignment horizontal="left" vertical="top"/>
    </xf>
    <xf numFmtId="0" fontId="3" fillId="0" borderId="25" xfId="0" applyFont="1" applyBorder="1" applyAlignment="1">
      <alignment horizontal="left" vertical="top"/>
    </xf>
    <xf numFmtId="0" fontId="3" fillId="0" borderId="21" xfId="0" applyFont="1" applyBorder="1" applyAlignment="1">
      <alignment horizontal="left" vertical="top"/>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3" fillId="0" borderId="3" xfId="0" applyFont="1" applyBorder="1" applyAlignment="1">
      <alignment horizontal="left" vertical="top"/>
    </xf>
    <xf numFmtId="0" fontId="3" fillId="0" borderId="6" xfId="0" applyFont="1" applyBorder="1" applyAlignment="1">
      <alignment horizontal="left" vertical="top"/>
    </xf>
    <xf numFmtId="0" fontId="3" fillId="0" borderId="5" xfId="0" applyFont="1" applyBorder="1" applyAlignment="1">
      <alignment horizontal="left" vertical="top"/>
    </xf>
    <xf numFmtId="0" fontId="3" fillId="0" borderId="9" xfId="0" applyFont="1" applyBorder="1" applyAlignment="1">
      <alignment horizontal="left" vertical="top"/>
    </xf>
    <xf numFmtId="0" fontId="14" fillId="19" borderId="8" xfId="0" applyFont="1" applyFill="1" applyBorder="1" applyAlignment="1">
      <alignment horizontal="center" vertical="center"/>
    </xf>
    <xf numFmtId="0" fontId="14" fillId="21" borderId="8" xfId="0" applyFont="1" applyFill="1" applyBorder="1" applyAlignment="1">
      <alignment horizontal="center" vertical="center"/>
    </xf>
    <xf numFmtId="0" fontId="14" fillId="20" borderId="8" xfId="0" applyFont="1" applyFill="1" applyBorder="1" applyAlignment="1">
      <alignment horizontal="center" vertical="center"/>
    </xf>
    <xf numFmtId="0" fontId="0" fillId="0" borderId="2" xfId="0" applyBorder="1" applyAlignment="1">
      <alignment horizontal="left" vertical="top"/>
    </xf>
    <xf numFmtId="0" fontId="0" fillId="0" borderId="15" xfId="0" applyBorder="1" applyAlignment="1">
      <alignment horizontal="left" vertical="top"/>
    </xf>
    <xf numFmtId="0" fontId="0" fillId="0" borderId="4" xfId="0" applyBorder="1" applyAlignment="1">
      <alignment horizontal="left" vertical="top"/>
    </xf>
    <xf numFmtId="0" fontId="14" fillId="22" borderId="8" xfId="0" applyFont="1" applyFill="1" applyBorder="1" applyAlignment="1">
      <alignment horizontal="center" vertical="center"/>
    </xf>
    <xf numFmtId="0" fontId="23" fillId="23" borderId="0" xfId="0" applyFont="1" applyFill="1" applyAlignment="1">
      <alignment horizontal="center" vertical="center"/>
    </xf>
    <xf numFmtId="0" fontId="24" fillId="24" borderId="0" xfId="0" applyFont="1" applyFill="1" applyAlignment="1">
      <alignment horizontal="center" vertical="center"/>
    </xf>
    <xf numFmtId="0" fontId="25" fillId="25" borderId="0" xfId="0" applyFont="1" applyFill="1" applyAlignment="1">
      <alignment horizontal="center" vertical="center" wrapText="1"/>
    </xf>
    <xf numFmtId="0" fontId="22" fillId="26" borderId="0" xfId="0" applyFont="1" applyFill="1" applyAlignment="1">
      <alignment horizontal="center" vertical="center"/>
    </xf>
    <xf numFmtId="0" fontId="27" fillId="28" borderId="0" xfId="0" applyFont="1" applyFill="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0" fillId="6" borderId="9" xfId="0" applyFill="1" applyBorder="1" applyAlignment="1"/>
    <xf numFmtId="0" fontId="0" fillId="0" borderId="9" xfId="0" applyBorder="1" applyAlignment="1"/>
    <xf numFmtId="0" fontId="0" fillId="6" borderId="11" xfId="0" applyFill="1" applyBorder="1" applyAlignment="1"/>
    <xf numFmtId="0" fontId="0" fillId="0" borderId="11" xfId="0" applyBorder="1" applyAlignment="1"/>
    <xf numFmtId="0" fontId="0" fillId="6" borderId="10" xfId="0" applyFill="1" applyBorder="1" applyAlignment="1"/>
    <xf numFmtId="0" fontId="0" fillId="0" borderId="10" xfId="0" applyBorder="1" applyAlignment="1"/>
    <xf numFmtId="0" fontId="6" fillId="0" borderId="12" xfId="0" applyFont="1" applyBorder="1" applyAlignment="1">
      <alignment horizontal="left" vertical="top" wrapText="1"/>
    </xf>
    <xf numFmtId="0" fontId="3" fillId="0" borderId="10" xfId="0" applyFont="1" applyBorder="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 fillId="0" borderId="1" xfId="0" applyFont="1" applyBorder="1" applyAlignment="1">
      <alignment horizontal="left" vertical="top" wrapText="1"/>
    </xf>
    <xf numFmtId="0" fontId="7" fillId="0" borderId="10" xfId="0" applyFont="1" applyBorder="1" applyAlignment="1">
      <alignment horizontal="left" vertical="center" wrapText="1"/>
    </xf>
    <xf numFmtId="0" fontId="17" fillId="0" borderId="9" xfId="0" applyFont="1" applyBorder="1" applyAlignment="1">
      <alignment horizontal="left" vertical="top"/>
    </xf>
    <xf numFmtId="0" fontId="17" fillId="0" borderId="1" xfId="0" applyFont="1" applyBorder="1" applyAlignment="1">
      <alignment horizontal="left" vertical="top"/>
    </xf>
    <xf numFmtId="0" fontId="17" fillId="0" borderId="16" xfId="0" applyFont="1" applyBorder="1" applyAlignment="1">
      <alignment horizontal="center" vertical="top"/>
    </xf>
    <xf numFmtId="0" fontId="17" fillId="0" borderId="7" xfId="0" applyFont="1" applyBorder="1" applyAlignment="1">
      <alignment horizontal="left" vertical="top"/>
    </xf>
    <xf numFmtId="0" fontId="17" fillId="0" borderId="0" xfId="0" applyFont="1" applyAlignment="1">
      <alignment horizontal="left" vertical="top"/>
    </xf>
    <xf numFmtId="0" fontId="0" fillId="0" borderId="0" xfId="0" applyAlignment="1"/>
  </cellXfs>
  <cellStyles count="2">
    <cellStyle name="40% - Énfasis3" xfId="1" xr:uid="{00000000-0005-0000-0000-000000000000}"/>
    <cellStyle name="Normal" xfId="0" builtinId="0"/>
  </cellStyles>
  <dxfs count="35">
    <dxf>
      <font>
        <color rgb="FF166534"/>
      </font>
      <fill>
        <patternFill patternType="solid">
          <bgColor rgb="FFDCFCE7"/>
        </patternFill>
      </fill>
    </dxf>
    <dxf>
      <font>
        <color rgb="FF075985"/>
      </font>
      <fill>
        <patternFill patternType="solid">
          <bgColor rgb="FFE0F2FE"/>
        </patternFill>
      </fill>
    </dxf>
    <dxf>
      <font>
        <color rgb="FF92400E"/>
      </font>
      <fill>
        <patternFill patternType="solid">
          <bgColor rgb="FFFEF3C7"/>
        </patternFill>
      </fill>
    </dxf>
    <dxf>
      <font>
        <color rgb="FFB3261E"/>
      </font>
      <fill>
        <patternFill patternType="solid">
          <bgColor rgb="FFFCE8E6"/>
        </patternFill>
      </fill>
    </dxf>
    <dxf>
      <font>
        <color rgb="FF374151"/>
      </font>
      <fill>
        <patternFill patternType="solid">
          <bgColor rgb="FFE5E7EB"/>
        </patternFill>
      </fill>
    </dxf>
    <dxf>
      <font>
        <color rgb="FF92400E"/>
      </font>
      <fill>
        <patternFill patternType="solid">
          <bgColor rgb="FFFEF3C7"/>
        </patternFill>
      </fill>
    </dxf>
    <dxf>
      <font>
        <b/>
        <color rgb="FFA61B1B"/>
      </font>
      <fill>
        <patternFill patternType="solid">
          <bgColor rgb="FFFDE2E2"/>
        </patternFill>
      </fill>
    </dxf>
    <dxf>
      <font>
        <color rgb="FF166534"/>
      </font>
      <fill>
        <patternFill patternType="solid">
          <bgColor rgb="FFDCFCE7"/>
        </patternFill>
      </fill>
    </dxf>
    <dxf>
      <font>
        <color rgb="FF075985"/>
      </font>
      <fill>
        <patternFill patternType="solid">
          <bgColor rgb="FFE0F2FE"/>
        </patternFill>
      </fill>
    </dxf>
    <dxf>
      <font>
        <color rgb="FF92400E"/>
      </font>
      <fill>
        <patternFill patternType="solid">
          <bgColor rgb="FFFEF3C7"/>
        </patternFill>
      </fill>
    </dxf>
    <dxf>
      <font>
        <color rgb="FFB3261E"/>
      </font>
      <fill>
        <patternFill patternType="solid">
          <bgColor rgb="FFFCE8E6"/>
        </patternFill>
      </fill>
    </dxf>
    <dxf>
      <font>
        <color rgb="FF374151"/>
      </font>
      <fill>
        <patternFill patternType="solid">
          <bgColor rgb="FFE5E7EB"/>
        </patternFill>
      </fill>
    </dxf>
    <dxf>
      <font>
        <color rgb="FF92400E"/>
      </font>
      <fill>
        <patternFill patternType="solid">
          <bgColor rgb="FFFEF3C7"/>
        </patternFill>
      </fill>
    </dxf>
    <dxf>
      <font>
        <b/>
        <color rgb="FFA61B1B"/>
      </font>
      <fill>
        <patternFill patternType="solid">
          <bgColor rgb="FFFDE2E2"/>
        </patternFill>
      </fill>
    </dxf>
    <dxf>
      <font>
        <color rgb="FF166534"/>
      </font>
      <fill>
        <patternFill patternType="solid">
          <bgColor rgb="FFDCFCE7"/>
        </patternFill>
      </fill>
    </dxf>
    <dxf>
      <font>
        <color rgb="FF075985"/>
      </font>
      <fill>
        <patternFill patternType="solid">
          <bgColor rgb="FFE0F2FE"/>
        </patternFill>
      </fill>
    </dxf>
    <dxf>
      <font>
        <color rgb="FF92400E"/>
      </font>
      <fill>
        <patternFill patternType="solid">
          <bgColor rgb="FFFEF3C7"/>
        </patternFill>
      </fill>
    </dxf>
    <dxf>
      <font>
        <color rgb="FFB3261E"/>
      </font>
      <fill>
        <patternFill patternType="solid">
          <bgColor rgb="FFFCE8E6"/>
        </patternFill>
      </fill>
    </dxf>
    <dxf>
      <font>
        <color rgb="FF374151"/>
      </font>
      <fill>
        <patternFill patternType="solid">
          <bgColor rgb="FFE5E7EB"/>
        </patternFill>
      </fill>
    </dxf>
    <dxf>
      <font>
        <color rgb="FF92400E"/>
      </font>
      <fill>
        <patternFill patternType="solid">
          <bgColor rgb="FFFEF3C7"/>
        </patternFill>
      </fill>
    </dxf>
    <dxf>
      <font>
        <b/>
        <color rgb="FFA61B1B"/>
      </font>
      <fill>
        <patternFill patternType="solid">
          <bgColor rgb="FFFDE2E2"/>
        </patternFill>
      </fill>
    </dxf>
    <dxf>
      <font>
        <color rgb="FF166534"/>
      </font>
      <fill>
        <patternFill patternType="solid">
          <bgColor rgb="FFDCFCE7"/>
        </patternFill>
      </fill>
    </dxf>
    <dxf>
      <font>
        <color rgb="FF075985"/>
      </font>
      <fill>
        <patternFill patternType="solid">
          <bgColor rgb="FFE0F2FE"/>
        </patternFill>
      </fill>
    </dxf>
    <dxf>
      <font>
        <color rgb="FF92400E"/>
      </font>
      <fill>
        <patternFill patternType="solid">
          <bgColor rgb="FFFEF3C7"/>
        </patternFill>
      </fill>
    </dxf>
    <dxf>
      <font>
        <color rgb="FFB3261E"/>
      </font>
      <fill>
        <patternFill patternType="solid">
          <bgColor rgb="FFFCE8E6"/>
        </patternFill>
      </fill>
    </dxf>
    <dxf>
      <font>
        <color rgb="FF374151"/>
      </font>
      <fill>
        <patternFill patternType="solid">
          <bgColor rgb="FFE5E7EB"/>
        </patternFill>
      </fill>
    </dxf>
    <dxf>
      <font>
        <color rgb="FF92400E"/>
      </font>
      <fill>
        <patternFill patternType="solid">
          <bgColor rgb="FFFEF3C7"/>
        </patternFill>
      </fill>
    </dxf>
    <dxf>
      <font>
        <b/>
        <color rgb="FFA61B1B"/>
      </font>
      <fill>
        <patternFill patternType="solid">
          <bgColor rgb="FFFDE2E2"/>
        </patternFill>
      </fill>
    </dxf>
    <dxf>
      <font>
        <color rgb="FF166534"/>
      </font>
      <fill>
        <patternFill patternType="solid">
          <bgColor rgb="FFDCFCE7"/>
        </patternFill>
      </fill>
    </dxf>
    <dxf>
      <font>
        <color rgb="FF075985"/>
      </font>
      <fill>
        <patternFill patternType="solid">
          <bgColor rgb="FFE0F2FE"/>
        </patternFill>
      </fill>
    </dxf>
    <dxf>
      <font>
        <color rgb="FF92400E"/>
      </font>
      <fill>
        <patternFill patternType="solid">
          <bgColor rgb="FFFEF3C7"/>
        </patternFill>
      </fill>
    </dxf>
    <dxf>
      <font>
        <color rgb="FFB3261E"/>
      </font>
      <fill>
        <patternFill patternType="solid">
          <bgColor rgb="FFFCE8E6"/>
        </patternFill>
      </fill>
    </dxf>
    <dxf>
      <font>
        <color rgb="FF374151"/>
      </font>
      <fill>
        <patternFill patternType="solid">
          <bgColor rgb="FFE5E7EB"/>
        </patternFill>
      </fill>
    </dxf>
    <dxf>
      <font>
        <color rgb="FF92400E"/>
      </font>
      <fill>
        <patternFill patternType="solid">
          <bgColor rgb="FFFEF3C7"/>
        </patternFill>
      </fill>
    </dxf>
    <dxf>
      <font>
        <b/>
        <color rgb="FFA61B1B"/>
      </font>
      <fill>
        <patternFill patternType="solid">
          <bgColor rgb="FFFDE2E2"/>
        </patternFill>
      </fill>
    </dxf>
  </dxfs>
  <tableStyles count="1" defaultTableStyle="TableStyleMedium2" defaultPivotStyle="PivotStyleLight16">
    <tableStyle name="Invisible" pivot="0" table="0" count="0" xr9:uid="{AC997BEA-5CC4-46A1-9CEB-8AC6EE6DBC4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7"/>
  <sheetViews>
    <sheetView workbookViewId="0"/>
  </sheetViews>
  <sheetFormatPr defaultColWidth="8.85546875" defaultRowHeight="15"/>
  <cols>
    <col min="1" max="1" width="14.85546875" style="26" customWidth="1"/>
    <col min="2" max="2" width="86.42578125" style="20" customWidth="1"/>
    <col min="3" max="3" width="25" customWidth="1"/>
    <col min="4" max="4" width="16.42578125" customWidth="1"/>
    <col min="5" max="5" width="21" customWidth="1"/>
  </cols>
  <sheetData>
    <row r="1" spans="1:5" ht="45">
      <c r="A1" s="116" t="s">
        <v>0</v>
      </c>
      <c r="B1" s="116" t="s">
        <v>1</v>
      </c>
      <c r="C1" s="117" t="s">
        <v>2</v>
      </c>
      <c r="D1" s="117" t="s">
        <v>3</v>
      </c>
      <c r="E1" s="117" t="s">
        <v>4</v>
      </c>
    </row>
    <row r="2" spans="1:5" ht="46.5">
      <c r="A2" s="24"/>
      <c r="B2" s="8" t="s">
        <v>5</v>
      </c>
      <c r="C2" s="1"/>
      <c r="D2" s="2"/>
      <c r="E2" s="2"/>
    </row>
    <row r="3" spans="1:5" ht="16.5" customHeight="1">
      <c r="A3" s="39">
        <v>17.2</v>
      </c>
      <c r="B3" s="9" t="s">
        <v>6</v>
      </c>
      <c r="C3" s="1"/>
      <c r="D3" s="2"/>
      <c r="E3" s="2"/>
    </row>
    <row r="4" spans="1:5" ht="75">
      <c r="A4" s="40" t="s">
        <v>7</v>
      </c>
      <c r="B4" s="3" t="s">
        <v>8</v>
      </c>
      <c r="C4" s="4" t="s">
        <v>9</v>
      </c>
      <c r="D4" s="5" t="s">
        <v>10</v>
      </c>
      <c r="E4" s="5" t="s">
        <v>11</v>
      </c>
    </row>
    <row r="5" spans="1:5" ht="45">
      <c r="A5" s="40" t="s">
        <v>12</v>
      </c>
      <c r="B5" s="3" t="s">
        <v>13</v>
      </c>
      <c r="C5" s="4" t="s">
        <v>9</v>
      </c>
      <c r="D5" s="5" t="s">
        <v>10</v>
      </c>
      <c r="E5" s="5" t="s">
        <v>11</v>
      </c>
    </row>
    <row r="6" spans="1:5" ht="30">
      <c r="A6" s="40" t="s">
        <v>14</v>
      </c>
      <c r="B6" s="3" t="s">
        <v>15</v>
      </c>
      <c r="C6" s="4" t="s">
        <v>9</v>
      </c>
      <c r="D6" s="5" t="s">
        <v>10</v>
      </c>
      <c r="E6" s="5" t="s">
        <v>11</v>
      </c>
    </row>
    <row r="7" spans="1:5" ht="45">
      <c r="A7" s="40" t="s">
        <v>16</v>
      </c>
      <c r="B7" s="3" t="s">
        <v>17</v>
      </c>
      <c r="C7" s="4" t="s">
        <v>9</v>
      </c>
      <c r="D7" s="5" t="s">
        <v>10</v>
      </c>
      <c r="E7" s="5" t="s">
        <v>11</v>
      </c>
    </row>
    <row r="8" spans="1:5" ht="108" customHeight="1">
      <c r="A8" s="40" t="s">
        <v>18</v>
      </c>
      <c r="B8" s="3" t="s">
        <v>19</v>
      </c>
      <c r="C8" s="4" t="s">
        <v>20</v>
      </c>
      <c r="D8" s="5" t="s">
        <v>10</v>
      </c>
      <c r="E8" s="5" t="s">
        <v>11</v>
      </c>
    </row>
    <row r="9" spans="1:5">
      <c r="A9" s="39">
        <v>17.3</v>
      </c>
      <c r="B9" s="9" t="s">
        <v>21</v>
      </c>
      <c r="C9" s="1"/>
      <c r="D9" s="1"/>
      <c r="E9" s="2"/>
    </row>
    <row r="10" spans="1:5" ht="62.1" customHeight="1">
      <c r="A10" s="40" t="s">
        <v>22</v>
      </c>
      <c r="B10" s="29" t="s">
        <v>23</v>
      </c>
      <c r="C10" s="330" t="s">
        <v>20</v>
      </c>
      <c r="D10" s="329" t="s">
        <v>10</v>
      </c>
      <c r="E10" s="329" t="s">
        <v>11</v>
      </c>
    </row>
    <row r="11" spans="1:5" ht="62.1" customHeight="1">
      <c r="A11" s="40" t="s">
        <v>24</v>
      </c>
      <c r="B11" s="29" t="s">
        <v>25</v>
      </c>
      <c r="C11" s="330"/>
      <c r="D11" s="329"/>
      <c r="E11" s="329"/>
    </row>
    <row r="12" spans="1:5" ht="62.1" customHeight="1">
      <c r="A12" s="40" t="s">
        <v>26</v>
      </c>
      <c r="B12" s="29" t="s">
        <v>27</v>
      </c>
      <c r="C12" s="330"/>
      <c r="D12" s="329"/>
      <c r="E12" s="329"/>
    </row>
    <row r="13" spans="1:5" ht="62.1" customHeight="1">
      <c r="A13" s="40" t="s">
        <v>28</v>
      </c>
      <c r="B13" s="29" t="s">
        <v>29</v>
      </c>
      <c r="C13" s="330"/>
      <c r="D13" s="329"/>
      <c r="E13" s="329"/>
    </row>
    <row r="14" spans="1:5" ht="62.1" customHeight="1">
      <c r="A14" s="40" t="s">
        <v>30</v>
      </c>
      <c r="B14" s="29" t="s">
        <v>31</v>
      </c>
      <c r="C14" s="330"/>
      <c r="D14" s="329"/>
      <c r="E14" s="329"/>
    </row>
    <row r="15" spans="1:5" ht="62.1" customHeight="1">
      <c r="A15" s="40" t="s">
        <v>32</v>
      </c>
      <c r="B15" s="29" t="s">
        <v>33</v>
      </c>
      <c r="C15" s="330"/>
      <c r="D15" s="329"/>
      <c r="E15" s="329"/>
    </row>
    <row r="16" spans="1:5" ht="62.1" customHeight="1">
      <c r="A16" s="40" t="s">
        <v>34</v>
      </c>
      <c r="B16" s="29" t="s">
        <v>35</v>
      </c>
      <c r="C16" s="330"/>
      <c r="D16" s="329"/>
      <c r="E16" s="329"/>
    </row>
    <row r="17" spans="1:5" ht="62.1" customHeight="1">
      <c r="A17" s="40" t="s">
        <v>36</v>
      </c>
      <c r="B17" s="29" t="s">
        <v>37</v>
      </c>
      <c r="C17" s="330"/>
      <c r="D17" s="329"/>
      <c r="E17" s="329"/>
    </row>
    <row r="18" spans="1:5" ht="62.1" customHeight="1">
      <c r="A18" s="40" t="s">
        <v>38</v>
      </c>
      <c r="B18" s="29" t="s">
        <v>39</v>
      </c>
      <c r="C18" s="330"/>
      <c r="D18" s="329"/>
      <c r="E18" s="329"/>
    </row>
    <row r="19" spans="1:5" ht="62.1" customHeight="1">
      <c r="A19" s="40" t="s">
        <v>40</v>
      </c>
      <c r="B19" s="29" t="s">
        <v>41</v>
      </c>
      <c r="C19" s="330"/>
      <c r="D19" s="329"/>
      <c r="E19" s="329"/>
    </row>
    <row r="20" spans="1:5" ht="62.1" customHeight="1">
      <c r="A20" s="40" t="s">
        <v>42</v>
      </c>
      <c r="B20" s="29" t="s">
        <v>43</v>
      </c>
      <c r="C20" s="330"/>
      <c r="D20" s="329"/>
      <c r="E20" s="329"/>
    </row>
    <row r="21" spans="1:5" ht="62.1" customHeight="1">
      <c r="A21" s="40" t="s">
        <v>44</v>
      </c>
      <c r="B21" s="29" t="s">
        <v>45</v>
      </c>
      <c r="C21" s="330"/>
      <c r="D21" s="329"/>
      <c r="E21" s="329"/>
    </row>
    <row r="22" spans="1:5" ht="62.1" customHeight="1">
      <c r="A22" s="40" t="s">
        <v>46</v>
      </c>
      <c r="B22" s="29" t="s">
        <v>47</v>
      </c>
      <c r="C22" s="330"/>
      <c r="D22" s="329"/>
      <c r="E22" s="329"/>
    </row>
    <row r="23" spans="1:5" ht="62.1" customHeight="1">
      <c r="A23" s="40" t="s">
        <v>48</v>
      </c>
      <c r="B23" s="29" t="s">
        <v>49</v>
      </c>
      <c r="C23" s="330"/>
      <c r="D23" s="329"/>
      <c r="E23" s="329"/>
    </row>
    <row r="24" spans="1:5" ht="62.1" customHeight="1">
      <c r="A24" s="40" t="s">
        <v>50</v>
      </c>
      <c r="B24" s="29" t="s">
        <v>51</v>
      </c>
      <c r="C24" s="330"/>
      <c r="D24" s="329"/>
      <c r="E24" s="329"/>
    </row>
    <row r="25" spans="1:5" ht="62.1" customHeight="1">
      <c r="A25" s="40" t="s">
        <v>52</v>
      </c>
      <c r="B25" s="29" t="s">
        <v>53</v>
      </c>
      <c r="C25" s="330"/>
      <c r="D25" s="329"/>
      <c r="E25" s="329"/>
    </row>
    <row r="26" spans="1:5" ht="62.1" customHeight="1">
      <c r="A26" s="40" t="s">
        <v>54</v>
      </c>
      <c r="B26" s="29" t="s">
        <v>55</v>
      </c>
      <c r="C26" s="330"/>
      <c r="D26" s="329"/>
      <c r="E26" s="329"/>
    </row>
    <row r="27" spans="1:5">
      <c r="A27" s="39">
        <v>17.399999999999999</v>
      </c>
      <c r="B27" s="18" t="s">
        <v>56</v>
      </c>
      <c r="C27" s="215"/>
      <c r="D27" s="11"/>
      <c r="E27" s="11"/>
    </row>
    <row r="28" spans="1:5" ht="98.1" customHeight="1">
      <c r="A28" s="177" t="s">
        <v>57</v>
      </c>
      <c r="B28" s="43" t="s">
        <v>58</v>
      </c>
      <c r="C28" s="4" t="s">
        <v>20</v>
      </c>
      <c r="D28" s="4" t="s">
        <v>10</v>
      </c>
      <c r="E28" s="5" t="s">
        <v>11</v>
      </c>
    </row>
    <row r="29" spans="1:5" ht="59.45" customHeight="1">
      <c r="A29" s="177" t="s">
        <v>59</v>
      </c>
      <c r="B29" s="43" t="s">
        <v>60</v>
      </c>
      <c r="C29" s="4" t="s">
        <v>9</v>
      </c>
      <c r="D29" s="4" t="s">
        <v>10</v>
      </c>
      <c r="E29" s="5" t="s">
        <v>11</v>
      </c>
    </row>
    <row r="30" spans="1:5" ht="75">
      <c r="A30" s="177" t="s">
        <v>61</v>
      </c>
      <c r="B30" s="43" t="s">
        <v>62</v>
      </c>
      <c r="C30" s="4" t="s">
        <v>20</v>
      </c>
      <c r="D30" s="4" t="s">
        <v>10</v>
      </c>
      <c r="E30" s="5" t="s">
        <v>11</v>
      </c>
    </row>
    <row r="31" spans="1:5" ht="75">
      <c r="A31" s="177" t="s">
        <v>63</v>
      </c>
      <c r="B31" s="230" t="s">
        <v>64</v>
      </c>
      <c r="C31" s="4" t="s">
        <v>9</v>
      </c>
      <c r="D31" s="4" t="s">
        <v>10</v>
      </c>
      <c r="E31" s="5" t="s">
        <v>11</v>
      </c>
    </row>
    <row r="32" spans="1:5">
      <c r="A32" s="177"/>
      <c r="B32" s="3"/>
      <c r="C32" s="4"/>
      <c r="D32" s="4"/>
      <c r="E32" s="5"/>
    </row>
    <row r="33" spans="1:5" ht="23.25">
      <c r="A33" s="178"/>
      <c r="B33" s="28" t="s">
        <v>65</v>
      </c>
      <c r="C33" s="215"/>
      <c r="D33" s="11"/>
      <c r="E33" s="11"/>
    </row>
    <row r="34" spans="1:5">
      <c r="A34" s="39">
        <v>1.2</v>
      </c>
      <c r="B34" s="18" t="s">
        <v>66</v>
      </c>
      <c r="C34" s="215"/>
      <c r="D34" s="11"/>
      <c r="E34" s="11"/>
    </row>
    <row r="35" spans="1:5">
      <c r="A35" s="40" t="s">
        <v>67</v>
      </c>
      <c r="B35" s="34" t="s">
        <v>68</v>
      </c>
      <c r="C35" s="216"/>
      <c r="D35" s="35"/>
      <c r="E35" s="35"/>
    </row>
    <row r="36" spans="1:5">
      <c r="A36" s="40"/>
      <c r="B36" s="3" t="s">
        <v>69</v>
      </c>
      <c r="C36" s="330" t="s">
        <v>70</v>
      </c>
      <c r="D36" s="329" t="s">
        <v>11</v>
      </c>
      <c r="E36" s="329" t="s">
        <v>11</v>
      </c>
    </row>
    <row r="37" spans="1:5">
      <c r="A37" s="40"/>
      <c r="B37" s="3" t="s">
        <v>71</v>
      </c>
      <c r="C37" s="330"/>
      <c r="D37" s="329"/>
      <c r="E37" s="329"/>
    </row>
    <row r="38" spans="1:5">
      <c r="A38" s="39">
        <v>1.3</v>
      </c>
      <c r="B38" s="18" t="s">
        <v>72</v>
      </c>
      <c r="C38" s="215"/>
      <c r="D38" s="11"/>
      <c r="E38" s="11"/>
    </row>
    <row r="39" spans="1:5" ht="45">
      <c r="A39" s="40" t="s">
        <v>73</v>
      </c>
      <c r="B39" s="36" t="s">
        <v>74</v>
      </c>
      <c r="C39" s="4" t="s">
        <v>9</v>
      </c>
      <c r="D39" s="4" t="s">
        <v>10</v>
      </c>
      <c r="E39" s="5" t="s">
        <v>11</v>
      </c>
    </row>
    <row r="40" spans="1:5" ht="45">
      <c r="A40" s="40" t="s">
        <v>75</v>
      </c>
      <c r="B40" s="37" t="s">
        <v>76</v>
      </c>
      <c r="C40" s="4" t="s">
        <v>9</v>
      </c>
      <c r="D40" s="4" t="s">
        <v>10</v>
      </c>
      <c r="E40" s="5" t="s">
        <v>11</v>
      </c>
    </row>
    <row r="41" spans="1:5" ht="90">
      <c r="A41" s="40" t="s">
        <v>77</v>
      </c>
      <c r="B41" s="20" t="s">
        <v>78</v>
      </c>
      <c r="C41" s="4" t="s">
        <v>20</v>
      </c>
      <c r="D41" s="4" t="s">
        <v>10</v>
      </c>
      <c r="E41" s="5" t="s">
        <v>11</v>
      </c>
    </row>
    <row r="42" spans="1:5" ht="60">
      <c r="A42" s="40" t="s">
        <v>79</v>
      </c>
      <c r="B42" s="20" t="s">
        <v>80</v>
      </c>
      <c r="C42" s="4" t="s">
        <v>9</v>
      </c>
      <c r="D42" s="4" t="s">
        <v>10</v>
      </c>
      <c r="E42" s="5" t="s">
        <v>11</v>
      </c>
    </row>
    <row r="43" spans="1:5" ht="45">
      <c r="A43" s="40" t="s">
        <v>81</v>
      </c>
      <c r="B43" s="20" t="s">
        <v>82</v>
      </c>
      <c r="C43" s="4" t="s">
        <v>9</v>
      </c>
      <c r="D43" s="4" t="s">
        <v>10</v>
      </c>
      <c r="E43" s="4" t="s">
        <v>11</v>
      </c>
    </row>
    <row r="44" spans="1:5">
      <c r="A44" s="39">
        <v>1.4</v>
      </c>
      <c r="B44" s="21" t="s">
        <v>83</v>
      </c>
      <c r="C44" s="215"/>
      <c r="D44" s="11"/>
      <c r="E44" s="11"/>
    </row>
    <row r="45" spans="1:5" ht="105">
      <c r="A45" s="40" t="s">
        <v>84</v>
      </c>
      <c r="B45" s="20" t="s">
        <v>85</v>
      </c>
      <c r="C45" s="4" t="s">
        <v>20</v>
      </c>
      <c r="D45" s="4" t="s">
        <v>10</v>
      </c>
      <c r="E45" s="5" t="s">
        <v>11</v>
      </c>
    </row>
    <row r="46" spans="1:5" ht="45">
      <c r="A46" s="40" t="s">
        <v>86</v>
      </c>
      <c r="B46" s="20" t="s">
        <v>87</v>
      </c>
      <c r="C46" s="4" t="s">
        <v>9</v>
      </c>
      <c r="D46" s="4" t="s">
        <v>10</v>
      </c>
      <c r="E46" s="5" t="s">
        <v>11</v>
      </c>
    </row>
    <row r="47" spans="1:5" ht="75">
      <c r="A47" s="40" t="s">
        <v>88</v>
      </c>
      <c r="B47" s="20" t="s">
        <v>89</v>
      </c>
      <c r="C47" s="4" t="s">
        <v>20</v>
      </c>
      <c r="D47" s="5" t="s">
        <v>10</v>
      </c>
      <c r="E47" s="5" t="s">
        <v>11</v>
      </c>
    </row>
    <row r="48" spans="1:5" ht="120">
      <c r="A48" s="40" t="s">
        <v>90</v>
      </c>
      <c r="B48" s="20" t="s">
        <v>91</v>
      </c>
      <c r="C48" s="4" t="s">
        <v>20</v>
      </c>
      <c r="D48" s="4" t="s">
        <v>10</v>
      </c>
      <c r="E48" s="4" t="s">
        <v>11</v>
      </c>
    </row>
    <row r="49" spans="1:5">
      <c r="C49" s="176"/>
      <c r="D49" s="15"/>
      <c r="E49" s="15"/>
    </row>
    <row r="50" spans="1:5" ht="23.25">
      <c r="A50" s="178"/>
      <c r="B50" s="22" t="s">
        <v>92</v>
      </c>
      <c r="C50" s="215"/>
      <c r="D50" s="11"/>
      <c r="E50" s="11"/>
    </row>
    <row r="51" spans="1:5">
      <c r="A51" s="39">
        <v>2.2000000000000002</v>
      </c>
      <c r="B51" s="21" t="s">
        <v>93</v>
      </c>
      <c r="C51" s="215"/>
      <c r="D51" s="11"/>
      <c r="E51" s="11"/>
    </row>
    <row r="52" spans="1:5" ht="60">
      <c r="A52" s="40" t="s">
        <v>94</v>
      </c>
      <c r="B52" s="33" t="s">
        <v>95</v>
      </c>
      <c r="C52" s="4" t="s">
        <v>20</v>
      </c>
      <c r="D52" s="4" t="s">
        <v>10</v>
      </c>
      <c r="E52" s="42" t="s">
        <v>11</v>
      </c>
    </row>
    <row r="53" spans="1:5">
      <c r="A53" s="40" t="s">
        <v>96</v>
      </c>
      <c r="B53" s="38" t="s">
        <v>93</v>
      </c>
      <c r="C53" s="17"/>
      <c r="D53" s="17"/>
      <c r="E53" s="32"/>
    </row>
    <row r="54" spans="1:5">
      <c r="A54" s="40"/>
      <c r="B54" s="20" t="s">
        <v>97</v>
      </c>
      <c r="C54" s="330" t="s">
        <v>70</v>
      </c>
      <c r="D54" s="329" t="s">
        <v>11</v>
      </c>
      <c r="E54" s="329" t="s">
        <v>11</v>
      </c>
    </row>
    <row r="55" spans="1:5">
      <c r="A55" s="40"/>
      <c r="B55" s="20" t="s">
        <v>98</v>
      </c>
      <c r="C55" s="330"/>
      <c r="D55" s="329"/>
      <c r="E55" s="329"/>
    </row>
    <row r="56" spans="1:5">
      <c r="A56" s="39">
        <v>2.2999999999999998</v>
      </c>
      <c r="B56" s="21" t="s">
        <v>99</v>
      </c>
      <c r="C56" s="215"/>
      <c r="D56" s="11"/>
      <c r="E56" s="11"/>
    </row>
    <row r="57" spans="1:5" ht="30">
      <c r="A57" s="40" t="s">
        <v>100</v>
      </c>
      <c r="B57" s="20" t="s">
        <v>101</v>
      </c>
      <c r="C57" s="17" t="s">
        <v>9</v>
      </c>
      <c r="D57" s="17" t="s">
        <v>10</v>
      </c>
      <c r="E57" s="17" t="s">
        <v>11</v>
      </c>
    </row>
    <row r="58" spans="1:5" ht="45">
      <c r="A58" s="40" t="s">
        <v>102</v>
      </c>
      <c r="B58" s="430" t="s">
        <v>103</v>
      </c>
      <c r="C58" s="4" t="s">
        <v>9</v>
      </c>
      <c r="D58" s="4" t="s">
        <v>10</v>
      </c>
      <c r="E58" s="4" t="s">
        <v>11</v>
      </c>
    </row>
    <row r="59" spans="1:5" ht="75">
      <c r="A59" s="40" t="s">
        <v>104</v>
      </c>
      <c r="B59" s="20" t="s">
        <v>105</v>
      </c>
      <c r="C59" s="4" t="s">
        <v>20</v>
      </c>
      <c r="D59" s="5" t="s">
        <v>10</v>
      </c>
      <c r="E59" s="5" t="s">
        <v>11</v>
      </c>
    </row>
    <row r="60" spans="1:5" ht="75">
      <c r="A60" s="40" t="s">
        <v>106</v>
      </c>
      <c r="B60" s="20" t="s">
        <v>107</v>
      </c>
      <c r="C60" s="4" t="s">
        <v>20</v>
      </c>
      <c r="D60" s="5" t="s">
        <v>10</v>
      </c>
      <c r="E60" s="5" t="s">
        <v>11</v>
      </c>
    </row>
    <row r="61" spans="1:5" ht="60">
      <c r="A61" s="40" t="s">
        <v>108</v>
      </c>
      <c r="B61" s="430" t="s">
        <v>109</v>
      </c>
      <c r="C61" s="4" t="s">
        <v>9</v>
      </c>
      <c r="D61" s="4" t="s">
        <v>10</v>
      </c>
      <c r="E61" s="4" t="s">
        <v>11</v>
      </c>
    </row>
    <row r="62" spans="1:5">
      <c r="A62" s="39">
        <v>2.4</v>
      </c>
      <c r="B62" s="21" t="s">
        <v>110</v>
      </c>
      <c r="C62" s="19"/>
      <c r="D62" s="10"/>
      <c r="E62" s="10"/>
    </row>
    <row r="63" spans="1:5">
      <c r="A63" s="40" t="s">
        <v>111</v>
      </c>
      <c r="B63" s="41" t="s">
        <v>112</v>
      </c>
      <c r="C63" s="46"/>
      <c r="D63" s="42"/>
      <c r="E63" s="42"/>
    </row>
    <row r="64" spans="1:5">
      <c r="A64" s="40"/>
      <c r="B64" s="20" t="s">
        <v>113</v>
      </c>
      <c r="C64" s="330" t="s">
        <v>70</v>
      </c>
      <c r="D64" s="330" t="s">
        <v>11</v>
      </c>
      <c r="E64" s="330" t="s">
        <v>11</v>
      </c>
    </row>
    <row r="65" spans="1:6">
      <c r="A65" s="40"/>
      <c r="B65" s="20" t="s">
        <v>114</v>
      </c>
      <c r="C65" s="330"/>
      <c r="D65" s="330"/>
      <c r="E65" s="330"/>
    </row>
    <row r="66" spans="1:6">
      <c r="A66" s="39">
        <v>2.5</v>
      </c>
      <c r="B66" s="21" t="s">
        <v>115</v>
      </c>
      <c r="C66" s="19"/>
      <c r="D66" s="10"/>
      <c r="E66" s="10"/>
    </row>
    <row r="67" spans="1:6" ht="90">
      <c r="A67" s="40" t="s">
        <v>116</v>
      </c>
      <c r="B67" s="20" t="s">
        <v>117</v>
      </c>
      <c r="C67" s="4" t="s">
        <v>20</v>
      </c>
      <c r="D67" s="4" t="s">
        <v>10</v>
      </c>
      <c r="E67" s="5" t="s">
        <v>11</v>
      </c>
    </row>
    <row r="68" spans="1:6" ht="75">
      <c r="A68" s="40" t="s">
        <v>118</v>
      </c>
      <c r="B68" s="20" t="s">
        <v>119</v>
      </c>
      <c r="C68" s="4" t="s">
        <v>20</v>
      </c>
      <c r="D68" s="4" t="s">
        <v>10</v>
      </c>
      <c r="E68" s="5" t="s">
        <v>11</v>
      </c>
    </row>
    <row r="69" spans="1:6" ht="90">
      <c r="A69" s="40" t="s">
        <v>120</v>
      </c>
      <c r="B69" s="20" t="s">
        <v>121</v>
      </c>
      <c r="C69" s="4" t="s">
        <v>20</v>
      </c>
      <c r="D69" s="4" t="s">
        <v>10</v>
      </c>
      <c r="E69" s="5" t="s">
        <v>11</v>
      </c>
    </row>
    <row r="70" spans="1:6" ht="26.25" customHeight="1">
      <c r="A70" s="40" t="s">
        <v>122</v>
      </c>
      <c r="B70" s="20" t="s">
        <v>123</v>
      </c>
      <c r="C70" s="4" t="s">
        <v>9</v>
      </c>
      <c r="D70" s="4" t="s">
        <v>10</v>
      </c>
      <c r="E70" s="4" t="s">
        <v>11</v>
      </c>
    </row>
    <row r="71" spans="1:6" ht="12.75" customHeight="1">
      <c r="A71" s="40"/>
      <c r="C71" s="4"/>
      <c r="D71" s="4"/>
      <c r="E71" s="4"/>
    </row>
    <row r="72" spans="1:6" ht="23.25">
      <c r="A72" s="39"/>
      <c r="B72" s="8" t="s">
        <v>124</v>
      </c>
      <c r="C72" s="1"/>
      <c r="D72" s="2"/>
      <c r="E72" s="2"/>
    </row>
    <row r="73" spans="1:6">
      <c r="A73" s="39">
        <v>3.2</v>
      </c>
      <c r="B73" s="9" t="s">
        <v>125</v>
      </c>
      <c r="C73" s="1"/>
      <c r="D73" s="2"/>
      <c r="E73" s="2"/>
    </row>
    <row r="74" spans="1:6">
      <c r="A74" s="40" t="s">
        <v>126</v>
      </c>
      <c r="B74" s="43" t="s">
        <v>127</v>
      </c>
      <c r="C74" s="4"/>
      <c r="D74" s="5"/>
      <c r="E74" s="5"/>
    </row>
    <row r="75" spans="1:6">
      <c r="A75" s="40"/>
      <c r="B75" s="3" t="s">
        <v>113</v>
      </c>
      <c r="C75" s="330" t="s">
        <v>70</v>
      </c>
      <c r="D75" s="329" t="s">
        <v>11</v>
      </c>
      <c r="E75" s="329" t="s">
        <v>11</v>
      </c>
    </row>
    <row r="76" spans="1:6">
      <c r="A76" s="40"/>
      <c r="B76" s="3" t="s">
        <v>128</v>
      </c>
      <c r="C76" s="330"/>
      <c r="D76" s="329"/>
      <c r="E76" s="329"/>
    </row>
    <row r="77" spans="1:6">
      <c r="A77" s="39">
        <v>3.3</v>
      </c>
      <c r="B77" s="9" t="s">
        <v>129</v>
      </c>
      <c r="C77" s="1"/>
      <c r="D77" s="2"/>
      <c r="E77" s="2"/>
    </row>
    <row r="78" spans="1:6" ht="105">
      <c r="A78" s="40" t="s">
        <v>130</v>
      </c>
      <c r="B78" s="3" t="s">
        <v>131</v>
      </c>
      <c r="C78" s="4" t="s">
        <v>20</v>
      </c>
      <c r="D78" s="5" t="s">
        <v>10</v>
      </c>
      <c r="E78" s="5" t="s">
        <v>11</v>
      </c>
      <c r="F78" s="5"/>
    </row>
    <row r="79" spans="1:6" ht="124.5" customHeight="1">
      <c r="A79" s="40" t="s">
        <v>132</v>
      </c>
      <c r="B79" s="3" t="s">
        <v>133</v>
      </c>
      <c r="C79" s="4" t="s">
        <v>20</v>
      </c>
      <c r="D79" s="5" t="s">
        <v>10</v>
      </c>
      <c r="E79" s="5" t="s">
        <v>11</v>
      </c>
      <c r="F79" s="5"/>
    </row>
    <row r="80" spans="1:6" ht="90">
      <c r="A80" s="40" t="s">
        <v>134</v>
      </c>
      <c r="B80" s="3" t="s">
        <v>135</v>
      </c>
      <c r="C80" s="4" t="s">
        <v>20</v>
      </c>
      <c r="D80" s="4" t="s">
        <v>10</v>
      </c>
      <c r="E80" s="4" t="s">
        <v>11</v>
      </c>
      <c r="F80" s="4"/>
    </row>
    <row r="81" spans="1:6" ht="87.95" customHeight="1">
      <c r="A81" s="40" t="s">
        <v>136</v>
      </c>
      <c r="B81" s="3" t="s">
        <v>137</v>
      </c>
      <c r="C81" s="4" t="s">
        <v>20</v>
      </c>
      <c r="D81" s="5" t="s">
        <v>10</v>
      </c>
      <c r="E81" s="5" t="s">
        <v>11</v>
      </c>
      <c r="F81" s="4"/>
    </row>
    <row r="82" spans="1:6" ht="72" customHeight="1">
      <c r="A82" s="40" t="s">
        <v>138</v>
      </c>
      <c r="B82" s="431" t="s">
        <v>139</v>
      </c>
      <c r="C82" s="4" t="s">
        <v>20</v>
      </c>
      <c r="D82" s="5" t="s">
        <v>10</v>
      </c>
      <c r="E82" s="5" t="s">
        <v>11</v>
      </c>
      <c r="F82" s="4"/>
    </row>
    <row r="83" spans="1:6" ht="75" customHeight="1">
      <c r="A83" s="40" t="s">
        <v>140</v>
      </c>
      <c r="B83" s="3" t="s">
        <v>141</v>
      </c>
      <c r="C83" s="4" t="s">
        <v>20</v>
      </c>
      <c r="D83" s="5" t="s">
        <v>10</v>
      </c>
      <c r="E83" s="5" t="s">
        <v>10</v>
      </c>
    </row>
    <row r="84" spans="1:6" ht="90">
      <c r="A84" s="40" t="s">
        <v>142</v>
      </c>
      <c r="B84" s="431" t="s">
        <v>143</v>
      </c>
      <c r="C84" s="4" t="s">
        <v>20</v>
      </c>
      <c r="D84" s="5" t="s">
        <v>10</v>
      </c>
      <c r="E84" s="5" t="s">
        <v>11</v>
      </c>
    </row>
    <row r="85" spans="1:6" ht="14.45" customHeight="1">
      <c r="A85" s="40"/>
      <c r="B85" s="3"/>
      <c r="C85" s="4"/>
      <c r="D85" s="5"/>
      <c r="E85" s="5"/>
    </row>
    <row r="86" spans="1:6" ht="23.25">
      <c r="A86" s="39"/>
      <c r="B86" s="8" t="s">
        <v>144</v>
      </c>
      <c r="C86" s="1"/>
      <c r="D86" s="2"/>
      <c r="E86" s="2"/>
    </row>
    <row r="87" spans="1:6">
      <c r="A87" s="39">
        <v>4.2</v>
      </c>
      <c r="B87" s="9" t="s">
        <v>145</v>
      </c>
      <c r="C87" s="1"/>
      <c r="D87" s="2"/>
      <c r="E87" s="2"/>
    </row>
    <row r="88" spans="1:6">
      <c r="A88" s="40" t="s">
        <v>146</v>
      </c>
      <c r="B88" s="43" t="s">
        <v>147</v>
      </c>
      <c r="C88" s="4"/>
      <c r="D88" s="5"/>
      <c r="E88" s="5"/>
    </row>
    <row r="89" spans="1:6">
      <c r="A89" s="40"/>
      <c r="B89" s="3" t="s">
        <v>113</v>
      </c>
      <c r="C89" s="330" t="s">
        <v>70</v>
      </c>
      <c r="D89" s="329" t="s">
        <v>11</v>
      </c>
      <c r="E89" s="329" t="s">
        <v>11</v>
      </c>
    </row>
    <row r="90" spans="1:6" ht="30">
      <c r="A90" s="40"/>
      <c r="B90" s="3" t="s">
        <v>148</v>
      </c>
      <c r="C90" s="330"/>
      <c r="D90" s="329"/>
      <c r="E90" s="329"/>
    </row>
    <row r="91" spans="1:6">
      <c r="A91" s="39">
        <v>4.3</v>
      </c>
      <c r="B91" s="9" t="s">
        <v>149</v>
      </c>
      <c r="C91" s="1"/>
      <c r="D91" s="2"/>
      <c r="E91" s="2"/>
    </row>
    <row r="92" spans="1:6" ht="75">
      <c r="A92" s="40" t="s">
        <v>150</v>
      </c>
      <c r="B92" s="431" t="s">
        <v>151</v>
      </c>
      <c r="C92" s="4" t="s">
        <v>20</v>
      </c>
      <c r="D92" s="5" t="s">
        <v>10</v>
      </c>
      <c r="E92" s="5" t="s">
        <v>11</v>
      </c>
    </row>
    <row r="93" spans="1:6" ht="75">
      <c r="A93" s="40" t="s">
        <v>152</v>
      </c>
      <c r="B93" s="431" t="s">
        <v>153</v>
      </c>
      <c r="C93" s="4" t="s">
        <v>20</v>
      </c>
      <c r="D93" s="5" t="s">
        <v>10</v>
      </c>
      <c r="E93" s="5" t="s">
        <v>11</v>
      </c>
    </row>
    <row r="94" spans="1:6" ht="105">
      <c r="A94" s="40" t="s">
        <v>154</v>
      </c>
      <c r="B94" s="3" t="s">
        <v>155</v>
      </c>
      <c r="C94" s="4" t="s">
        <v>20</v>
      </c>
      <c r="D94" s="5" t="s">
        <v>10</v>
      </c>
      <c r="E94" s="5" t="s">
        <v>11</v>
      </c>
    </row>
    <row r="95" spans="1:6" ht="90">
      <c r="A95" s="40" t="s">
        <v>156</v>
      </c>
      <c r="B95" s="3" t="s">
        <v>157</v>
      </c>
      <c r="C95" s="4" t="s">
        <v>20</v>
      </c>
      <c r="D95" s="5" t="s">
        <v>10</v>
      </c>
      <c r="E95" s="5" t="s">
        <v>11</v>
      </c>
    </row>
    <row r="96" spans="1:6" ht="48.95" customHeight="1">
      <c r="A96" s="40" t="s">
        <v>158</v>
      </c>
      <c r="B96" s="3" t="s">
        <v>159</v>
      </c>
      <c r="C96" s="4" t="s">
        <v>9</v>
      </c>
      <c r="D96" s="5" t="s">
        <v>10</v>
      </c>
      <c r="E96" s="5" t="s">
        <v>10</v>
      </c>
    </row>
    <row r="97" spans="1:5">
      <c r="A97" s="179">
        <v>4.4000000000000004</v>
      </c>
      <c r="B97" s="18" t="s">
        <v>160</v>
      </c>
      <c r="C97" s="19"/>
      <c r="D97" s="10"/>
      <c r="E97" s="10"/>
    </row>
    <row r="98" spans="1:5">
      <c r="A98" s="180" t="s">
        <v>161</v>
      </c>
      <c r="B98" s="34" t="s">
        <v>160</v>
      </c>
      <c r="C98" s="46"/>
      <c r="D98" s="42"/>
      <c r="E98" s="42"/>
    </row>
    <row r="99" spans="1:5">
      <c r="A99" s="40"/>
      <c r="B99" s="3" t="s">
        <v>162</v>
      </c>
      <c r="C99" s="330" t="s">
        <v>70</v>
      </c>
      <c r="D99" s="329" t="s">
        <v>11</v>
      </c>
      <c r="E99" s="329" t="s">
        <v>11</v>
      </c>
    </row>
    <row r="100" spans="1:5">
      <c r="A100" s="40"/>
      <c r="B100" s="16" t="s">
        <v>163</v>
      </c>
      <c r="C100" s="330"/>
      <c r="D100" s="329"/>
      <c r="E100" s="329"/>
    </row>
    <row r="101" spans="1:5">
      <c r="A101" s="40"/>
      <c r="C101" s="4"/>
      <c r="D101" s="5"/>
      <c r="E101" s="5"/>
    </row>
    <row r="102" spans="1:5" ht="23.25">
      <c r="A102" s="39"/>
      <c r="B102" s="8" t="s">
        <v>164</v>
      </c>
      <c r="C102" s="1"/>
      <c r="D102" s="2"/>
      <c r="E102" s="2"/>
    </row>
    <row r="103" spans="1:5">
      <c r="A103" s="39">
        <v>5.2</v>
      </c>
      <c r="B103" s="9" t="s">
        <v>165</v>
      </c>
      <c r="C103" s="1"/>
      <c r="D103" s="2"/>
      <c r="E103" s="2"/>
    </row>
    <row r="104" spans="1:5">
      <c r="A104" s="40" t="s">
        <v>166</v>
      </c>
      <c r="B104" s="26" t="s">
        <v>167</v>
      </c>
      <c r="C104" s="4"/>
      <c r="D104" s="5"/>
      <c r="E104" s="5"/>
    </row>
    <row r="105" spans="1:5">
      <c r="A105" s="40"/>
      <c r="B105" s="31" t="s">
        <v>168</v>
      </c>
      <c r="C105" s="330" t="s">
        <v>70</v>
      </c>
      <c r="D105" s="329" t="s">
        <v>11</v>
      </c>
      <c r="E105" s="329" t="s">
        <v>11</v>
      </c>
    </row>
    <row r="106" spans="1:5">
      <c r="A106" s="40"/>
      <c r="B106" s="31" t="s">
        <v>169</v>
      </c>
      <c r="C106" s="330"/>
      <c r="D106" s="329"/>
      <c r="E106" s="329"/>
    </row>
    <row r="107" spans="1:5">
      <c r="A107" s="39">
        <v>5.3</v>
      </c>
      <c r="B107" s="9" t="s">
        <v>170</v>
      </c>
      <c r="C107" s="6"/>
      <c r="D107" s="7"/>
      <c r="E107" s="7"/>
    </row>
    <row r="108" spans="1:5" ht="44.45" customHeight="1">
      <c r="A108" s="40" t="s">
        <v>171</v>
      </c>
      <c r="B108" s="3" t="s">
        <v>172</v>
      </c>
      <c r="C108" s="4" t="s">
        <v>9</v>
      </c>
      <c r="D108" s="4" t="s">
        <v>10</v>
      </c>
      <c r="E108" s="5" t="s">
        <v>11</v>
      </c>
    </row>
    <row r="109" spans="1:5" ht="48.6" customHeight="1">
      <c r="A109" s="40" t="s">
        <v>173</v>
      </c>
      <c r="B109" s="3" t="s">
        <v>174</v>
      </c>
      <c r="C109" s="4" t="s">
        <v>9</v>
      </c>
      <c r="D109" s="5" t="s">
        <v>10</v>
      </c>
      <c r="E109" s="5" t="s">
        <v>10</v>
      </c>
    </row>
    <row r="110" spans="1:5" ht="90">
      <c r="A110" s="40" t="s">
        <v>175</v>
      </c>
      <c r="B110" s="431" t="s">
        <v>176</v>
      </c>
      <c r="C110" s="4" t="s">
        <v>20</v>
      </c>
      <c r="D110" s="5" t="s">
        <v>10</v>
      </c>
      <c r="E110" s="5" t="s">
        <v>11</v>
      </c>
    </row>
    <row r="111" spans="1:5" ht="120">
      <c r="A111" s="40" t="s">
        <v>177</v>
      </c>
      <c r="B111" s="3" t="s">
        <v>178</v>
      </c>
      <c r="C111" s="4" t="s">
        <v>20</v>
      </c>
      <c r="D111" s="5" t="s">
        <v>10</v>
      </c>
      <c r="E111" s="5" t="s">
        <v>11</v>
      </c>
    </row>
    <row r="112" spans="1:5">
      <c r="A112" s="39">
        <v>5.4</v>
      </c>
      <c r="B112" s="18" t="s">
        <v>179</v>
      </c>
      <c r="C112" s="19"/>
      <c r="D112" s="10"/>
      <c r="E112" s="10"/>
    </row>
    <row r="113" spans="1:5">
      <c r="A113" s="40" t="s">
        <v>180</v>
      </c>
      <c r="B113" s="43" t="s">
        <v>179</v>
      </c>
      <c r="C113" s="4"/>
      <c r="D113" s="5"/>
      <c r="E113" s="5"/>
    </row>
    <row r="114" spans="1:5">
      <c r="A114" s="181"/>
      <c r="B114" s="30" t="s">
        <v>181</v>
      </c>
      <c r="C114" s="330" t="s">
        <v>70</v>
      </c>
      <c r="D114" s="329" t="s">
        <v>11</v>
      </c>
      <c r="E114" s="331" t="s">
        <v>11</v>
      </c>
    </row>
    <row r="115" spans="1:5">
      <c r="A115" s="40"/>
      <c r="B115" s="3" t="s">
        <v>182</v>
      </c>
      <c r="C115" s="330"/>
      <c r="D115" s="329"/>
      <c r="E115" s="331"/>
    </row>
    <row r="116" spans="1:5">
      <c r="A116" s="39">
        <v>5.5</v>
      </c>
      <c r="B116" s="18" t="s">
        <v>183</v>
      </c>
      <c r="C116" s="217"/>
      <c r="D116" s="12"/>
      <c r="E116" s="12"/>
    </row>
    <row r="117" spans="1:5">
      <c r="A117" s="40" t="s">
        <v>184</v>
      </c>
      <c r="B117" s="34" t="s">
        <v>185</v>
      </c>
      <c r="C117" s="218"/>
      <c r="D117" s="44"/>
      <c r="E117" s="44"/>
    </row>
    <row r="118" spans="1:5">
      <c r="A118" s="40"/>
      <c r="B118" s="29" t="s">
        <v>186</v>
      </c>
      <c r="C118" s="330" t="s">
        <v>70</v>
      </c>
      <c r="D118" s="329" t="s">
        <v>11</v>
      </c>
      <c r="E118" s="329" t="s">
        <v>11</v>
      </c>
    </row>
    <row r="119" spans="1:5" ht="30">
      <c r="A119" s="40"/>
      <c r="B119" s="29" t="s">
        <v>187</v>
      </c>
      <c r="C119" s="330"/>
      <c r="D119" s="329"/>
      <c r="E119" s="329"/>
    </row>
    <row r="120" spans="1:5">
      <c r="A120" s="40"/>
      <c r="B120" s="29" t="s">
        <v>188</v>
      </c>
      <c r="C120" s="330"/>
      <c r="D120" s="329"/>
      <c r="E120" s="329"/>
    </row>
    <row r="121" spans="1:5">
      <c r="A121" s="40"/>
      <c r="B121" s="29" t="s">
        <v>189</v>
      </c>
      <c r="C121" s="330"/>
      <c r="D121" s="329"/>
      <c r="E121" s="329"/>
    </row>
    <row r="122" spans="1:5">
      <c r="A122" s="40"/>
      <c r="B122" s="29" t="s">
        <v>190</v>
      </c>
      <c r="C122" s="330"/>
      <c r="D122" s="329"/>
      <c r="E122" s="329"/>
    </row>
    <row r="123" spans="1:5" ht="30">
      <c r="A123" s="40"/>
      <c r="B123" s="29" t="s">
        <v>191</v>
      </c>
      <c r="C123" s="330"/>
      <c r="D123" s="329"/>
      <c r="E123" s="329"/>
    </row>
    <row r="124" spans="1:5">
      <c r="A124" s="40"/>
      <c r="B124" s="29" t="s">
        <v>192</v>
      </c>
      <c r="C124" s="330"/>
      <c r="D124" s="329"/>
      <c r="E124" s="329"/>
    </row>
    <row r="125" spans="1:5">
      <c r="A125" s="40"/>
      <c r="B125" s="29" t="s">
        <v>193</v>
      </c>
      <c r="C125" s="330"/>
      <c r="D125" s="329"/>
      <c r="E125" s="329"/>
    </row>
    <row r="126" spans="1:5">
      <c r="A126" s="40"/>
      <c r="B126" s="29" t="s">
        <v>194</v>
      </c>
      <c r="C126" s="330"/>
      <c r="D126" s="329"/>
      <c r="E126" s="329"/>
    </row>
    <row r="127" spans="1:5">
      <c r="A127" s="39">
        <v>5.6</v>
      </c>
      <c r="B127" s="9" t="s">
        <v>195</v>
      </c>
      <c r="C127" s="1"/>
      <c r="D127" s="2"/>
      <c r="E127" s="2"/>
    </row>
    <row r="128" spans="1:5" ht="31.5" customHeight="1">
      <c r="A128" s="40" t="s">
        <v>196</v>
      </c>
      <c r="B128" s="29" t="s">
        <v>197</v>
      </c>
      <c r="C128" s="4" t="s">
        <v>9</v>
      </c>
      <c r="D128" s="5" t="s">
        <v>10</v>
      </c>
      <c r="E128" s="5" t="s">
        <v>10</v>
      </c>
    </row>
    <row r="129" spans="1:5" ht="35.1" customHeight="1">
      <c r="A129" s="40" t="s">
        <v>198</v>
      </c>
      <c r="B129" s="29" t="s">
        <v>199</v>
      </c>
      <c r="C129" s="4" t="s">
        <v>9</v>
      </c>
      <c r="D129" s="5" t="s">
        <v>10</v>
      </c>
      <c r="E129" s="5" t="s">
        <v>10</v>
      </c>
    </row>
    <row r="130" spans="1:5" ht="43.5" customHeight="1">
      <c r="A130" s="40" t="s">
        <v>200</v>
      </c>
      <c r="B130" s="297" t="s">
        <v>201</v>
      </c>
      <c r="C130" s="4" t="s">
        <v>9</v>
      </c>
      <c r="D130" s="5" t="s">
        <v>10</v>
      </c>
      <c r="E130" s="5" t="s">
        <v>10</v>
      </c>
    </row>
    <row r="131" spans="1:5" ht="89.45" customHeight="1">
      <c r="A131" s="40" t="s">
        <v>202</v>
      </c>
      <c r="B131" s="3" t="s">
        <v>203</v>
      </c>
      <c r="C131" s="4" t="s">
        <v>20</v>
      </c>
      <c r="D131" s="5" t="s">
        <v>10</v>
      </c>
      <c r="E131" s="5" t="s">
        <v>11</v>
      </c>
    </row>
    <row r="132" spans="1:5" ht="75">
      <c r="A132" s="40" t="s">
        <v>204</v>
      </c>
      <c r="B132" s="3" t="s">
        <v>205</v>
      </c>
      <c r="C132" s="4" t="s">
        <v>20</v>
      </c>
      <c r="D132" s="5" t="s">
        <v>10</v>
      </c>
      <c r="E132" s="5" t="s">
        <v>11</v>
      </c>
    </row>
    <row r="133" spans="1:5" ht="30">
      <c r="A133" s="40" t="s">
        <v>206</v>
      </c>
      <c r="B133" s="3" t="s">
        <v>207</v>
      </c>
      <c r="C133" s="4" t="s">
        <v>9</v>
      </c>
      <c r="D133" s="5" t="s">
        <v>10</v>
      </c>
      <c r="E133" s="5" t="s">
        <v>11</v>
      </c>
    </row>
    <row r="134" spans="1:5" ht="45">
      <c r="A134" s="40" t="s">
        <v>208</v>
      </c>
      <c r="B134" s="3" t="s">
        <v>209</v>
      </c>
      <c r="C134" s="4" t="s">
        <v>9</v>
      </c>
      <c r="D134" s="5" t="s">
        <v>10</v>
      </c>
      <c r="E134" s="5" t="s">
        <v>11</v>
      </c>
    </row>
    <row r="135" spans="1:5" ht="45">
      <c r="A135" s="40" t="s">
        <v>210</v>
      </c>
      <c r="B135" s="3" t="s">
        <v>211</v>
      </c>
      <c r="C135" s="4" t="s">
        <v>9</v>
      </c>
      <c r="D135" s="5" t="s">
        <v>10</v>
      </c>
      <c r="E135" s="5" t="s">
        <v>10</v>
      </c>
    </row>
    <row r="136" spans="1:5" ht="45">
      <c r="A136" s="40" t="s">
        <v>212</v>
      </c>
      <c r="B136" s="297" t="s">
        <v>213</v>
      </c>
      <c r="C136" s="4" t="s">
        <v>9</v>
      </c>
      <c r="D136" s="5" t="s">
        <v>10</v>
      </c>
      <c r="E136" s="5" t="s">
        <v>10</v>
      </c>
    </row>
    <row r="137" spans="1:5">
      <c r="A137" s="40"/>
      <c r="B137" s="3"/>
      <c r="C137" s="4"/>
      <c r="D137" s="5"/>
      <c r="E137" s="5"/>
    </row>
    <row r="138" spans="1:5" ht="23.25">
      <c r="A138" s="182"/>
      <c r="B138" s="28" t="s">
        <v>214</v>
      </c>
      <c r="C138" s="19"/>
      <c r="D138" s="10"/>
      <c r="E138" s="10"/>
    </row>
    <row r="139" spans="1:5">
      <c r="A139" s="39">
        <v>6.2</v>
      </c>
      <c r="B139" s="18" t="s">
        <v>215</v>
      </c>
      <c r="C139" s="19"/>
      <c r="D139" s="10"/>
      <c r="E139" s="10"/>
    </row>
    <row r="140" spans="1:5" ht="57.95" customHeight="1">
      <c r="A140" s="40" t="s">
        <v>216</v>
      </c>
      <c r="B140" s="34" t="s">
        <v>217</v>
      </c>
      <c r="C140" s="4" t="s">
        <v>20</v>
      </c>
      <c r="D140" s="5" t="s">
        <v>10</v>
      </c>
      <c r="E140" s="4" t="s">
        <v>11</v>
      </c>
    </row>
    <row r="141" spans="1:5" ht="13.5" customHeight="1">
      <c r="A141" s="40" t="s">
        <v>218</v>
      </c>
      <c r="B141" s="34" t="s">
        <v>219</v>
      </c>
      <c r="C141" s="4"/>
      <c r="D141" s="5"/>
      <c r="E141" s="4"/>
    </row>
    <row r="142" spans="1:5">
      <c r="A142" s="40"/>
      <c r="B142" s="3" t="s">
        <v>220</v>
      </c>
      <c r="C142" s="330" t="s">
        <v>70</v>
      </c>
      <c r="D142" s="329" t="s">
        <v>11</v>
      </c>
      <c r="E142" s="329" t="s">
        <v>11</v>
      </c>
    </row>
    <row r="143" spans="1:5">
      <c r="A143" s="40"/>
      <c r="B143" s="3" t="s">
        <v>98</v>
      </c>
      <c r="C143" s="330"/>
      <c r="D143" s="329"/>
      <c r="E143" s="329"/>
    </row>
    <row r="144" spans="1:5">
      <c r="A144" s="39">
        <v>6.3</v>
      </c>
      <c r="B144" s="18" t="s">
        <v>221</v>
      </c>
      <c r="C144" s="19"/>
      <c r="D144" s="10"/>
      <c r="E144" s="10"/>
    </row>
    <row r="145" spans="1:5" ht="32.450000000000003" customHeight="1">
      <c r="A145" s="40" t="s">
        <v>222</v>
      </c>
      <c r="B145" s="3" t="s">
        <v>223</v>
      </c>
      <c r="C145" s="4" t="s">
        <v>9</v>
      </c>
      <c r="D145" s="5" t="s">
        <v>10</v>
      </c>
      <c r="E145" s="4" t="s">
        <v>11</v>
      </c>
    </row>
    <row r="146" spans="1:5" ht="44.45" customHeight="1">
      <c r="A146" s="40" t="s">
        <v>224</v>
      </c>
      <c r="B146" s="3" t="s">
        <v>225</v>
      </c>
      <c r="C146" s="4" t="s">
        <v>9</v>
      </c>
      <c r="D146" s="5" t="s">
        <v>10</v>
      </c>
      <c r="E146" s="4" t="s">
        <v>11</v>
      </c>
    </row>
    <row r="147" spans="1:5" ht="30">
      <c r="A147" s="40" t="s">
        <v>226</v>
      </c>
      <c r="B147" s="3" t="s">
        <v>227</v>
      </c>
      <c r="C147" s="4" t="s">
        <v>9</v>
      </c>
      <c r="D147" s="5" t="s">
        <v>10</v>
      </c>
      <c r="E147" s="4" t="s">
        <v>11</v>
      </c>
    </row>
    <row r="148" spans="1:5" ht="33.950000000000003" customHeight="1">
      <c r="A148" s="40" t="s">
        <v>228</v>
      </c>
      <c r="B148" s="3" t="s">
        <v>229</v>
      </c>
      <c r="C148" s="4" t="s">
        <v>9</v>
      </c>
      <c r="D148" s="5" t="s">
        <v>10</v>
      </c>
      <c r="E148" s="4" t="s">
        <v>11</v>
      </c>
    </row>
    <row r="149" spans="1:5" ht="30">
      <c r="A149" s="40" t="s">
        <v>230</v>
      </c>
      <c r="B149" s="3" t="s">
        <v>231</v>
      </c>
      <c r="C149" s="4" t="s">
        <v>9</v>
      </c>
      <c r="D149" s="5" t="s">
        <v>10</v>
      </c>
      <c r="E149" s="4" t="s">
        <v>11</v>
      </c>
    </row>
    <row r="150" spans="1:5">
      <c r="A150" s="39">
        <v>6.4</v>
      </c>
      <c r="B150" s="18" t="s">
        <v>232</v>
      </c>
      <c r="C150" s="19"/>
      <c r="D150" s="10"/>
      <c r="E150" s="10"/>
    </row>
    <row r="151" spans="1:5" ht="30.6" customHeight="1">
      <c r="A151" s="40" t="s">
        <v>233</v>
      </c>
      <c r="B151" s="29" t="s">
        <v>234</v>
      </c>
      <c r="C151" s="4" t="s">
        <v>9</v>
      </c>
      <c r="D151" s="5" t="s">
        <v>10</v>
      </c>
      <c r="E151" s="4" t="s">
        <v>10</v>
      </c>
    </row>
    <row r="152" spans="1:5" ht="29.45" customHeight="1">
      <c r="A152" s="40" t="s">
        <v>235</v>
      </c>
      <c r="B152" s="29" t="s">
        <v>236</v>
      </c>
      <c r="C152" s="4" t="s">
        <v>9</v>
      </c>
      <c r="D152" s="5" t="s">
        <v>10</v>
      </c>
      <c r="E152" s="4" t="s">
        <v>11</v>
      </c>
    </row>
    <row r="153" spans="1:5">
      <c r="A153" s="39">
        <v>6.5</v>
      </c>
      <c r="B153" s="18" t="s">
        <v>237</v>
      </c>
      <c r="C153" s="19"/>
      <c r="D153" s="10"/>
      <c r="E153" s="10"/>
    </row>
    <row r="154" spans="1:5" ht="71.099999999999994" customHeight="1">
      <c r="A154" s="40" t="s">
        <v>238</v>
      </c>
      <c r="B154" s="3" t="s">
        <v>239</v>
      </c>
      <c r="C154" s="4" t="s">
        <v>20</v>
      </c>
      <c r="D154" s="5" t="s">
        <v>10</v>
      </c>
      <c r="E154" s="5" t="s">
        <v>11</v>
      </c>
    </row>
    <row r="155" spans="1:5" ht="33.950000000000003" customHeight="1">
      <c r="A155" s="40" t="s">
        <v>240</v>
      </c>
      <c r="B155" s="431" t="s">
        <v>241</v>
      </c>
      <c r="C155" s="4" t="s">
        <v>9</v>
      </c>
      <c r="D155" s="5" t="s">
        <v>10</v>
      </c>
      <c r="E155" s="5" t="s">
        <v>11</v>
      </c>
    </row>
    <row r="156" spans="1:5" ht="49.5" customHeight="1">
      <c r="A156" s="40" t="s">
        <v>242</v>
      </c>
      <c r="B156" s="3" t="s">
        <v>243</v>
      </c>
      <c r="C156" s="4" t="s">
        <v>9</v>
      </c>
      <c r="D156" s="5" t="s">
        <v>10</v>
      </c>
      <c r="E156" s="5" t="s">
        <v>11</v>
      </c>
    </row>
    <row r="157" spans="1:5" ht="90">
      <c r="A157" s="40" t="s">
        <v>244</v>
      </c>
      <c r="B157" s="3" t="s">
        <v>245</v>
      </c>
      <c r="C157" s="4" t="s">
        <v>20</v>
      </c>
      <c r="D157" s="4" t="s">
        <v>10</v>
      </c>
      <c r="E157" s="4" t="s">
        <v>11</v>
      </c>
    </row>
    <row r="158" spans="1:5" ht="30">
      <c r="A158" s="219" t="s">
        <v>246</v>
      </c>
      <c r="B158" s="226" t="s">
        <v>247</v>
      </c>
      <c r="C158" s="4" t="s">
        <v>9</v>
      </c>
      <c r="D158" s="4" t="s">
        <v>10</v>
      </c>
      <c r="E158" s="4" t="s">
        <v>11</v>
      </c>
    </row>
    <row r="159" spans="1:5" ht="30">
      <c r="A159" s="219" t="s">
        <v>248</v>
      </c>
      <c r="B159" s="297" t="s">
        <v>249</v>
      </c>
      <c r="C159" s="4" t="s">
        <v>9</v>
      </c>
      <c r="D159" s="4" t="s">
        <v>10</v>
      </c>
      <c r="E159" s="4" t="s">
        <v>11</v>
      </c>
    </row>
    <row r="160" spans="1:5">
      <c r="A160" s="40"/>
      <c r="B160" s="3"/>
      <c r="C160" s="4"/>
      <c r="D160" s="42"/>
      <c r="E160" s="42"/>
    </row>
    <row r="161" spans="1:5" ht="23.25">
      <c r="A161" s="182"/>
      <c r="B161" s="28" t="s">
        <v>250</v>
      </c>
      <c r="C161" s="19"/>
      <c r="D161" s="5"/>
      <c r="E161" s="5"/>
    </row>
    <row r="162" spans="1:5">
      <c r="A162" s="183">
        <v>7.2</v>
      </c>
      <c r="B162" s="18" t="s">
        <v>251</v>
      </c>
      <c r="C162" s="19"/>
      <c r="D162" s="5"/>
      <c r="E162" s="5"/>
    </row>
    <row r="163" spans="1:5" ht="45">
      <c r="A163" s="180" t="s">
        <v>252</v>
      </c>
      <c r="B163" s="3" t="s">
        <v>253</v>
      </c>
      <c r="C163" s="4" t="s">
        <v>9</v>
      </c>
      <c r="D163" s="5" t="s">
        <v>10</v>
      </c>
      <c r="E163" s="5" t="s">
        <v>11</v>
      </c>
    </row>
    <row r="164" spans="1:5" ht="30">
      <c r="A164" s="180" t="s">
        <v>254</v>
      </c>
      <c r="B164" s="3" t="s">
        <v>255</v>
      </c>
      <c r="C164" s="4" t="s">
        <v>9</v>
      </c>
      <c r="D164" s="5" t="s">
        <v>10</v>
      </c>
      <c r="E164" s="5" t="s">
        <v>11</v>
      </c>
    </row>
    <row r="165" spans="1:5" ht="30">
      <c r="A165" s="180" t="s">
        <v>256</v>
      </c>
      <c r="B165" s="3" t="s">
        <v>257</v>
      </c>
      <c r="C165" s="4" t="s">
        <v>9</v>
      </c>
      <c r="D165" s="5" t="s">
        <v>10</v>
      </c>
      <c r="E165" s="5" t="s">
        <v>11</v>
      </c>
    </row>
    <row r="166" spans="1:5" ht="30">
      <c r="A166" s="180" t="s">
        <v>258</v>
      </c>
      <c r="B166" s="3" t="s">
        <v>259</v>
      </c>
      <c r="C166" s="4" t="s">
        <v>9</v>
      </c>
      <c r="D166" s="5" t="s">
        <v>10</v>
      </c>
      <c r="E166" s="5" t="s">
        <v>10</v>
      </c>
    </row>
    <row r="167" spans="1:5" ht="30">
      <c r="A167" s="180" t="s">
        <v>260</v>
      </c>
      <c r="B167" s="3" t="s">
        <v>261</v>
      </c>
      <c r="C167" s="4" t="s">
        <v>9</v>
      </c>
      <c r="D167" s="10"/>
      <c r="E167" s="10"/>
    </row>
    <row r="168" spans="1:5" ht="45">
      <c r="A168" s="180" t="s">
        <v>262</v>
      </c>
      <c r="B168" s="29" t="s">
        <v>263</v>
      </c>
      <c r="C168" s="4" t="s">
        <v>9</v>
      </c>
      <c r="D168" s="42"/>
      <c r="E168" s="42"/>
    </row>
    <row r="169" spans="1:5">
      <c r="A169" s="39">
        <v>7.3</v>
      </c>
      <c r="B169" s="18" t="s">
        <v>264</v>
      </c>
      <c r="C169" s="19"/>
      <c r="D169" s="330" t="s">
        <v>11</v>
      </c>
      <c r="E169" s="329" t="s">
        <v>11</v>
      </c>
    </row>
    <row r="170" spans="1:5">
      <c r="A170" s="40" t="s">
        <v>265</v>
      </c>
      <c r="B170" s="34" t="s">
        <v>266</v>
      </c>
      <c r="C170" s="46"/>
      <c r="D170" s="330"/>
      <c r="E170" s="329"/>
    </row>
    <row r="171" spans="1:5">
      <c r="A171" s="40"/>
      <c r="B171" s="3" t="s">
        <v>267</v>
      </c>
      <c r="C171" s="330" t="s">
        <v>70</v>
      </c>
      <c r="D171" s="10"/>
      <c r="E171" s="10"/>
    </row>
    <row r="172" spans="1:5">
      <c r="A172" s="40"/>
      <c r="B172" s="3" t="s">
        <v>268</v>
      </c>
      <c r="C172" s="330"/>
      <c r="D172" s="5" t="s">
        <v>10</v>
      </c>
      <c r="E172" s="5" t="s">
        <v>11</v>
      </c>
    </row>
    <row r="173" spans="1:5">
      <c r="A173" s="39">
        <v>7.4</v>
      </c>
      <c r="B173" s="18" t="s">
        <v>269</v>
      </c>
      <c r="C173" s="19"/>
      <c r="D173" s="5" t="s">
        <v>10</v>
      </c>
      <c r="E173" s="5" t="s">
        <v>11</v>
      </c>
    </row>
    <row r="174" spans="1:5" ht="78.599999999999994" customHeight="1">
      <c r="A174" s="40" t="s">
        <v>270</v>
      </c>
      <c r="B174" s="3" t="s">
        <v>271</v>
      </c>
      <c r="C174" s="4" t="s">
        <v>9</v>
      </c>
      <c r="D174" s="5" t="s">
        <v>10</v>
      </c>
      <c r="E174" s="5" t="s">
        <v>11</v>
      </c>
    </row>
    <row r="175" spans="1:5" ht="120" customHeight="1">
      <c r="A175" s="40" t="s">
        <v>272</v>
      </c>
      <c r="B175" s="3" t="s">
        <v>273</v>
      </c>
      <c r="C175" s="4" t="s">
        <v>9</v>
      </c>
      <c r="D175" s="5" t="s">
        <v>10</v>
      </c>
      <c r="E175" s="5" t="s">
        <v>11</v>
      </c>
    </row>
    <row r="176" spans="1:5" ht="90">
      <c r="A176" s="40" t="s">
        <v>274</v>
      </c>
      <c r="B176" s="3" t="s">
        <v>275</v>
      </c>
      <c r="C176" s="4" t="s">
        <v>20</v>
      </c>
      <c r="D176" s="5" t="s">
        <v>10</v>
      </c>
      <c r="E176" s="5" t="s">
        <v>11</v>
      </c>
    </row>
    <row r="177" spans="1:5" ht="120">
      <c r="A177" s="40" t="s">
        <v>276</v>
      </c>
      <c r="B177" s="3" t="s">
        <v>277</v>
      </c>
      <c r="C177" s="4" t="s">
        <v>20</v>
      </c>
      <c r="D177" s="10"/>
      <c r="E177" s="10"/>
    </row>
    <row r="178" spans="1:5" ht="30">
      <c r="A178" s="40" t="s">
        <v>278</v>
      </c>
      <c r="B178" s="3" t="s">
        <v>279</v>
      </c>
      <c r="C178" s="4" t="s">
        <v>9</v>
      </c>
      <c r="D178" s="330" t="s">
        <v>11</v>
      </c>
      <c r="E178" s="329" t="s">
        <v>11</v>
      </c>
    </row>
    <row r="179" spans="1:5">
      <c r="A179" s="39">
        <v>7.5</v>
      </c>
      <c r="B179" s="18" t="s">
        <v>280</v>
      </c>
      <c r="C179" s="19"/>
      <c r="D179" s="330"/>
      <c r="E179" s="329"/>
    </row>
    <row r="180" spans="1:5">
      <c r="A180" s="40" t="s">
        <v>281</v>
      </c>
      <c r="B180" s="18" t="s">
        <v>280</v>
      </c>
      <c r="C180" s="1"/>
      <c r="D180" s="2"/>
      <c r="E180" s="2"/>
    </row>
    <row r="181" spans="1:5">
      <c r="A181" s="40"/>
      <c r="B181" s="3" t="s">
        <v>267</v>
      </c>
      <c r="C181" s="330" t="s">
        <v>70</v>
      </c>
      <c r="D181" s="5" t="s">
        <v>11</v>
      </c>
      <c r="E181" s="5" t="s">
        <v>11</v>
      </c>
    </row>
    <row r="182" spans="1:5">
      <c r="A182" s="40"/>
      <c r="B182" s="3" t="s">
        <v>282</v>
      </c>
      <c r="C182" s="330"/>
      <c r="D182" s="5" t="s">
        <v>11</v>
      </c>
      <c r="E182" s="5" t="s">
        <v>11</v>
      </c>
    </row>
    <row r="183" spans="1:5">
      <c r="A183" s="40"/>
      <c r="B183" s="3"/>
      <c r="C183" s="4"/>
      <c r="D183" s="5"/>
      <c r="E183" s="5"/>
    </row>
    <row r="184" spans="1:5" ht="23.25">
      <c r="A184" s="39"/>
      <c r="B184" s="8" t="s">
        <v>283</v>
      </c>
      <c r="C184" s="1"/>
    </row>
    <row r="185" spans="1:5">
      <c r="A185" s="39">
        <v>8.1999999999999993</v>
      </c>
      <c r="B185" s="9" t="s">
        <v>284</v>
      </c>
      <c r="C185" s="1"/>
      <c r="D185" s="5"/>
      <c r="E185" s="5"/>
    </row>
    <row r="186" spans="1:5" ht="60">
      <c r="A186" s="40" t="s">
        <v>285</v>
      </c>
      <c r="B186" s="3" t="s">
        <v>286</v>
      </c>
      <c r="C186" s="4" t="s">
        <v>9</v>
      </c>
      <c r="D186" s="5" t="s">
        <v>10</v>
      </c>
      <c r="E186" s="5" t="s">
        <v>10</v>
      </c>
    </row>
    <row r="187" spans="1:5" ht="45">
      <c r="A187" s="40" t="s">
        <v>287</v>
      </c>
      <c r="B187" s="431" t="s">
        <v>288</v>
      </c>
      <c r="C187" s="4" t="s">
        <v>9</v>
      </c>
      <c r="D187" s="5" t="s">
        <v>10</v>
      </c>
      <c r="E187" s="5" t="s">
        <v>10</v>
      </c>
    </row>
    <row r="188" spans="1:5" ht="39.6" customHeight="1">
      <c r="A188" s="40" t="s">
        <v>289</v>
      </c>
      <c r="B188" s="3" t="s">
        <v>290</v>
      </c>
      <c r="C188" s="4" t="s">
        <v>9</v>
      </c>
      <c r="D188" s="5" t="s">
        <v>10</v>
      </c>
      <c r="E188" s="5" t="s">
        <v>10</v>
      </c>
    </row>
    <row r="189" spans="1:5" ht="45">
      <c r="A189" s="40" t="s">
        <v>291</v>
      </c>
      <c r="B189" s="3" t="s">
        <v>292</v>
      </c>
      <c r="C189" s="4" t="s">
        <v>9</v>
      </c>
      <c r="D189" s="5" t="s">
        <v>10</v>
      </c>
      <c r="E189" s="5" t="s">
        <v>10</v>
      </c>
    </row>
    <row r="190" spans="1:5" ht="45">
      <c r="A190" s="40" t="s">
        <v>293</v>
      </c>
      <c r="B190" s="3" t="s">
        <v>294</v>
      </c>
      <c r="C190" s="4" t="s">
        <v>9</v>
      </c>
      <c r="D190" s="5" t="s">
        <v>10</v>
      </c>
      <c r="E190" s="5" t="s">
        <v>11</v>
      </c>
    </row>
    <row r="191" spans="1:5" ht="45">
      <c r="A191" s="40" t="s">
        <v>295</v>
      </c>
      <c r="B191" s="3" t="s">
        <v>296</v>
      </c>
      <c r="C191" s="4" t="s">
        <v>9</v>
      </c>
      <c r="D191" s="4" t="s">
        <v>10</v>
      </c>
      <c r="E191" s="5" t="s">
        <v>11</v>
      </c>
    </row>
    <row r="192" spans="1:5" ht="30">
      <c r="A192" s="40" t="s">
        <v>297</v>
      </c>
      <c r="B192" s="3" t="s">
        <v>298</v>
      </c>
      <c r="C192" s="4" t="s">
        <v>9</v>
      </c>
      <c r="D192" s="5" t="s">
        <v>10</v>
      </c>
      <c r="E192" s="5" t="s">
        <v>11</v>
      </c>
    </row>
    <row r="193" spans="1:5" ht="30">
      <c r="A193" s="40" t="s">
        <v>299</v>
      </c>
      <c r="B193" s="29" t="s">
        <v>300</v>
      </c>
      <c r="C193" s="4" t="s">
        <v>9</v>
      </c>
      <c r="D193" s="10"/>
      <c r="E193" s="10"/>
    </row>
    <row r="194" spans="1:5" ht="45">
      <c r="A194" s="40" t="s">
        <v>301</v>
      </c>
      <c r="B194" s="431" t="s">
        <v>302</v>
      </c>
      <c r="C194" s="4" t="s">
        <v>9</v>
      </c>
      <c r="D194" s="15"/>
      <c r="E194" s="15"/>
    </row>
    <row r="195" spans="1:5">
      <c r="A195" s="39">
        <v>8.3000000000000007</v>
      </c>
      <c r="B195" s="18" t="s">
        <v>303</v>
      </c>
      <c r="C195" s="19"/>
      <c r="D195" s="329" t="s">
        <v>11</v>
      </c>
      <c r="E195" s="329" t="s">
        <v>11</v>
      </c>
    </row>
    <row r="196" spans="1:5">
      <c r="A196" s="40" t="s">
        <v>304</v>
      </c>
      <c r="B196" s="43" t="s">
        <v>303</v>
      </c>
      <c r="C196" s="176"/>
      <c r="D196" s="329"/>
      <c r="E196" s="329"/>
    </row>
    <row r="197" spans="1:5">
      <c r="A197" s="40"/>
      <c r="B197" s="176" t="s">
        <v>305</v>
      </c>
      <c r="C197" s="330" t="s">
        <v>70</v>
      </c>
      <c r="D197" s="10"/>
      <c r="E197" s="10"/>
    </row>
    <row r="198" spans="1:5">
      <c r="A198" s="40"/>
      <c r="B198" s="3" t="s">
        <v>306</v>
      </c>
      <c r="C198" s="330"/>
      <c r="D198" s="42"/>
      <c r="E198" s="42"/>
    </row>
    <row r="199" spans="1:5">
      <c r="A199" s="39">
        <v>8.4</v>
      </c>
      <c r="B199" s="18" t="s">
        <v>307</v>
      </c>
      <c r="C199" s="19"/>
      <c r="D199" s="329" t="s">
        <v>11</v>
      </c>
      <c r="E199" s="329" t="s">
        <v>11</v>
      </c>
    </row>
    <row r="200" spans="1:5">
      <c r="A200" s="40" t="s">
        <v>308</v>
      </c>
      <c r="B200" s="34" t="s">
        <v>309</v>
      </c>
      <c r="C200" s="46"/>
      <c r="D200" s="329"/>
      <c r="E200" s="329"/>
    </row>
    <row r="201" spans="1:5">
      <c r="A201" s="40"/>
      <c r="B201" s="3" t="s">
        <v>69</v>
      </c>
      <c r="C201" s="330" t="s">
        <v>70</v>
      </c>
      <c r="D201" s="10"/>
      <c r="E201" s="10"/>
    </row>
    <row r="202" spans="1:5">
      <c r="A202" s="40"/>
      <c r="B202" s="3" t="s">
        <v>310</v>
      </c>
      <c r="C202" s="330"/>
      <c r="D202" s="42"/>
      <c r="E202" s="42"/>
    </row>
    <row r="203" spans="1:5">
      <c r="A203" s="39">
        <v>8.5</v>
      </c>
      <c r="B203" s="18" t="s">
        <v>311</v>
      </c>
      <c r="C203" s="19"/>
      <c r="D203" s="329" t="s">
        <v>11</v>
      </c>
      <c r="E203" s="329" t="s">
        <v>11</v>
      </c>
    </row>
    <row r="204" spans="1:5">
      <c r="A204" s="40" t="s">
        <v>312</v>
      </c>
      <c r="B204" s="34" t="s">
        <v>311</v>
      </c>
      <c r="C204" s="46"/>
      <c r="D204" s="329"/>
      <c r="E204" s="329"/>
    </row>
    <row r="205" spans="1:5">
      <c r="A205" s="40"/>
      <c r="B205" s="20" t="s">
        <v>305</v>
      </c>
      <c r="C205" s="330" t="s">
        <v>70</v>
      </c>
      <c r="D205" s="5"/>
      <c r="E205" s="5"/>
    </row>
    <row r="206" spans="1:5">
      <c r="A206" s="40"/>
      <c r="B206" s="29" t="s">
        <v>313</v>
      </c>
      <c r="C206" s="330"/>
      <c r="D206" s="10"/>
      <c r="E206" s="10"/>
    </row>
    <row r="207" spans="1:5" ht="13.5" customHeight="1">
      <c r="A207" s="40"/>
      <c r="B207" s="3"/>
      <c r="C207" s="4"/>
      <c r="D207" s="10"/>
      <c r="E207" s="10"/>
    </row>
    <row r="208" spans="1:5" ht="23.25">
      <c r="A208" s="179"/>
      <c r="B208" s="28" t="s">
        <v>314</v>
      </c>
      <c r="C208" s="19"/>
      <c r="D208" s="5" t="s">
        <v>11</v>
      </c>
      <c r="E208" s="5" t="s">
        <v>11</v>
      </c>
    </row>
    <row r="209" spans="1:5">
      <c r="A209" s="39">
        <v>9.3000000000000007</v>
      </c>
      <c r="B209" s="18" t="s">
        <v>315</v>
      </c>
      <c r="C209" s="19"/>
      <c r="D209" s="12"/>
      <c r="E209" s="12"/>
    </row>
    <row r="210" spans="1:5" ht="30">
      <c r="A210" s="40" t="s">
        <v>316</v>
      </c>
      <c r="B210" s="3" t="s">
        <v>317</v>
      </c>
      <c r="C210" s="4" t="s">
        <v>70</v>
      </c>
      <c r="D210" s="15"/>
      <c r="E210" s="15"/>
    </row>
    <row r="211" spans="1:5">
      <c r="A211" s="39">
        <v>9.4</v>
      </c>
      <c r="B211" s="18" t="s">
        <v>318</v>
      </c>
      <c r="C211" s="217"/>
      <c r="D211" s="329" t="s">
        <v>11</v>
      </c>
      <c r="E211" s="329" t="s">
        <v>11</v>
      </c>
    </row>
    <row r="212" spans="1:5">
      <c r="A212" s="40" t="s">
        <v>319</v>
      </c>
      <c r="B212" s="43" t="s">
        <v>320</v>
      </c>
      <c r="C212" s="176"/>
      <c r="D212" s="329"/>
      <c r="E212" s="329"/>
    </row>
    <row r="213" spans="1:5">
      <c r="A213" s="40"/>
      <c r="B213" s="176" t="s">
        <v>321</v>
      </c>
      <c r="C213" s="330" t="s">
        <v>70</v>
      </c>
      <c r="D213" s="329"/>
      <c r="E213" s="329"/>
    </row>
    <row r="214" spans="1:5">
      <c r="A214" s="40"/>
      <c r="B214" s="176" t="s">
        <v>322</v>
      </c>
      <c r="C214" s="330"/>
      <c r="D214" s="329"/>
      <c r="E214" s="329"/>
    </row>
    <row r="215" spans="1:5">
      <c r="A215" s="40"/>
      <c r="B215" s="176" t="s">
        <v>323</v>
      </c>
      <c r="C215" s="330"/>
      <c r="D215" s="329"/>
      <c r="E215" s="329"/>
    </row>
    <row r="216" spans="1:5">
      <c r="A216" s="40"/>
      <c r="B216" s="176" t="s">
        <v>324</v>
      </c>
      <c r="C216" s="330"/>
      <c r="D216" s="329"/>
      <c r="E216" s="329"/>
    </row>
    <row r="217" spans="1:5">
      <c r="A217" s="40"/>
      <c r="B217" s="3" t="s">
        <v>325</v>
      </c>
      <c r="C217" s="330"/>
      <c r="D217" s="5"/>
      <c r="E217" s="5"/>
    </row>
    <row r="218" spans="1:5">
      <c r="A218" s="40"/>
      <c r="B218" s="3" t="s">
        <v>326</v>
      </c>
      <c r="C218" s="330"/>
      <c r="D218" s="2"/>
      <c r="E218" s="2"/>
    </row>
    <row r="219" spans="1:5">
      <c r="A219" s="40"/>
      <c r="B219" s="3"/>
      <c r="C219" s="4"/>
      <c r="D219" s="2"/>
      <c r="E219" s="2"/>
    </row>
    <row r="220" spans="1:5" ht="23.25">
      <c r="A220" s="39"/>
      <c r="B220" s="8" t="s">
        <v>327</v>
      </c>
      <c r="C220" s="1"/>
      <c r="D220" s="45"/>
      <c r="E220" s="15"/>
    </row>
    <row r="221" spans="1:5">
      <c r="A221" s="39">
        <v>10.199999999999999</v>
      </c>
      <c r="B221" s="9" t="s">
        <v>328</v>
      </c>
      <c r="C221" s="1"/>
      <c r="D221" s="331" t="s">
        <v>11</v>
      </c>
      <c r="E221" s="329" t="s">
        <v>11</v>
      </c>
    </row>
    <row r="222" spans="1:5">
      <c r="A222" s="40" t="s">
        <v>329</v>
      </c>
      <c r="B222" s="43" t="s">
        <v>160</v>
      </c>
      <c r="C222" s="176"/>
      <c r="D222" s="331"/>
      <c r="E222" s="329"/>
    </row>
    <row r="223" spans="1:5">
      <c r="A223" s="40"/>
      <c r="B223" s="29" t="s">
        <v>330</v>
      </c>
      <c r="C223" s="330" t="s">
        <v>70</v>
      </c>
      <c r="D223" s="12"/>
      <c r="E223" s="12"/>
    </row>
    <row r="224" spans="1:5">
      <c r="A224" s="40"/>
      <c r="B224" s="29" t="s">
        <v>331</v>
      </c>
      <c r="C224" s="330"/>
      <c r="D224" s="44"/>
      <c r="E224" s="44"/>
    </row>
    <row r="225" spans="1:5">
      <c r="A225" s="39">
        <v>10.3</v>
      </c>
      <c r="B225" s="18" t="s">
        <v>332</v>
      </c>
      <c r="C225" s="217"/>
      <c r="D225" s="329" t="s">
        <v>11</v>
      </c>
      <c r="E225" s="329" t="s">
        <v>11</v>
      </c>
    </row>
    <row r="226" spans="1:5">
      <c r="A226" s="40" t="s">
        <v>333</v>
      </c>
      <c r="B226" s="34" t="s">
        <v>334</v>
      </c>
      <c r="C226" s="218"/>
      <c r="D226" s="329"/>
      <c r="E226" s="329"/>
    </row>
    <row r="227" spans="1:5">
      <c r="A227" s="40"/>
      <c r="B227" s="3" t="s">
        <v>69</v>
      </c>
      <c r="C227" s="330" t="s">
        <v>70</v>
      </c>
      <c r="D227" s="12"/>
      <c r="E227" s="12"/>
    </row>
    <row r="228" spans="1:5">
      <c r="A228" s="40"/>
      <c r="B228" s="3" t="s">
        <v>335</v>
      </c>
      <c r="C228" s="330"/>
      <c r="D228" s="44"/>
      <c r="E228" s="44"/>
    </row>
    <row r="229" spans="1:5" ht="15" customHeight="1">
      <c r="A229" s="39">
        <v>10.4</v>
      </c>
      <c r="B229" s="18" t="s">
        <v>336</v>
      </c>
      <c r="C229" s="217"/>
      <c r="D229" s="329" t="s">
        <v>11</v>
      </c>
      <c r="E229" s="329" t="s">
        <v>11</v>
      </c>
    </row>
    <row r="230" spans="1:5">
      <c r="A230" s="40" t="s">
        <v>337</v>
      </c>
      <c r="B230" s="34" t="s">
        <v>338</v>
      </c>
      <c r="C230" s="218"/>
      <c r="D230" s="329"/>
      <c r="E230" s="329"/>
    </row>
    <row r="231" spans="1:5">
      <c r="A231" s="177"/>
      <c r="B231" s="3" t="s">
        <v>69</v>
      </c>
      <c r="C231" s="330" t="s">
        <v>70</v>
      </c>
      <c r="D231" s="12"/>
      <c r="E231" s="12"/>
    </row>
    <row r="232" spans="1:5">
      <c r="A232" s="177"/>
      <c r="B232" s="3" t="s">
        <v>339</v>
      </c>
      <c r="C232" s="330"/>
      <c r="D232" s="44"/>
      <c r="E232" s="44"/>
    </row>
    <row r="233" spans="1:5">
      <c r="A233" s="39">
        <v>10.5</v>
      </c>
      <c r="B233" s="18" t="s">
        <v>340</v>
      </c>
      <c r="C233" s="217"/>
      <c r="D233" s="329" t="s">
        <v>11</v>
      </c>
      <c r="E233" s="329" t="s">
        <v>11</v>
      </c>
    </row>
    <row r="234" spans="1:5">
      <c r="A234" s="40" t="s">
        <v>341</v>
      </c>
      <c r="B234" s="34" t="s">
        <v>342</v>
      </c>
      <c r="C234" s="218"/>
      <c r="D234" s="329"/>
      <c r="E234" s="329"/>
    </row>
    <row r="235" spans="1:5">
      <c r="A235" s="40"/>
      <c r="B235" s="3" t="s">
        <v>305</v>
      </c>
      <c r="C235" s="330" t="s">
        <v>70</v>
      </c>
      <c r="D235" s="2"/>
      <c r="E235" s="2"/>
    </row>
    <row r="236" spans="1:5">
      <c r="A236" s="40"/>
      <c r="B236" s="3" t="s">
        <v>343</v>
      </c>
      <c r="C236" s="330"/>
      <c r="D236" s="5" t="s">
        <v>10</v>
      </c>
      <c r="E236" s="5" t="s">
        <v>10</v>
      </c>
    </row>
    <row r="237" spans="1:5">
      <c r="A237" s="39">
        <v>10.6</v>
      </c>
      <c r="B237" s="9" t="s">
        <v>344</v>
      </c>
      <c r="C237" s="1"/>
      <c r="D237" s="5" t="s">
        <v>10</v>
      </c>
      <c r="E237" s="5" t="s">
        <v>11</v>
      </c>
    </row>
    <row r="238" spans="1:5" ht="45">
      <c r="A238" s="40" t="s">
        <v>345</v>
      </c>
      <c r="B238" s="3" t="s">
        <v>346</v>
      </c>
      <c r="C238" s="4" t="s">
        <v>9</v>
      </c>
      <c r="D238" s="5" t="s">
        <v>10</v>
      </c>
      <c r="E238" s="5" t="s">
        <v>11</v>
      </c>
    </row>
    <row r="239" spans="1:5" ht="60">
      <c r="A239" s="40" t="s">
        <v>347</v>
      </c>
      <c r="B239" s="3" t="s">
        <v>348</v>
      </c>
      <c r="C239" s="4" t="s">
        <v>9</v>
      </c>
      <c r="D239" s="5" t="s">
        <v>10</v>
      </c>
      <c r="E239" s="5" t="s">
        <v>10</v>
      </c>
    </row>
    <row r="240" spans="1:5" ht="30">
      <c r="A240" s="40" t="s">
        <v>349</v>
      </c>
      <c r="B240" s="3" t="s">
        <v>350</v>
      </c>
      <c r="C240" s="4" t="s">
        <v>9</v>
      </c>
      <c r="D240" s="5" t="s">
        <v>10</v>
      </c>
      <c r="E240" s="5" t="s">
        <v>11</v>
      </c>
    </row>
    <row r="241" spans="1:5" ht="30">
      <c r="A241" s="40" t="s">
        <v>351</v>
      </c>
      <c r="B241" s="431" t="s">
        <v>352</v>
      </c>
      <c r="C241" s="4" t="s">
        <v>9</v>
      </c>
      <c r="D241" s="5" t="s">
        <v>10</v>
      </c>
      <c r="E241" s="5" t="s">
        <v>11</v>
      </c>
    </row>
    <row r="242" spans="1:5" ht="29.25" customHeight="1">
      <c r="A242" s="40" t="s">
        <v>353</v>
      </c>
      <c r="B242" s="3" t="s">
        <v>354</v>
      </c>
      <c r="C242" s="4" t="s">
        <v>9</v>
      </c>
      <c r="D242" s="5" t="s">
        <v>10</v>
      </c>
      <c r="E242" s="5" t="s">
        <v>11</v>
      </c>
    </row>
    <row r="243" spans="1:5" ht="45">
      <c r="A243" s="40" t="s">
        <v>355</v>
      </c>
      <c r="B243" s="3" t="s">
        <v>356</v>
      </c>
      <c r="C243" s="4" t="s">
        <v>9</v>
      </c>
      <c r="D243" s="5" t="s">
        <v>10</v>
      </c>
      <c r="E243" s="5" t="s">
        <v>11</v>
      </c>
    </row>
    <row r="244" spans="1:5" ht="30">
      <c r="A244" s="40" t="s">
        <v>357</v>
      </c>
      <c r="B244" s="3" t="s">
        <v>358</v>
      </c>
      <c r="C244" s="4" t="s">
        <v>9</v>
      </c>
      <c r="D244" s="5" t="s">
        <v>10</v>
      </c>
      <c r="E244" s="5" t="s">
        <v>11</v>
      </c>
    </row>
    <row r="245" spans="1:5" ht="30">
      <c r="A245" s="40" t="s">
        <v>359</v>
      </c>
      <c r="B245" s="3" t="s">
        <v>360</v>
      </c>
      <c r="C245" s="4" t="s">
        <v>9</v>
      </c>
      <c r="D245" s="5" t="s">
        <v>10</v>
      </c>
      <c r="E245" s="5" t="s">
        <v>10</v>
      </c>
    </row>
    <row r="246" spans="1:5" ht="90">
      <c r="A246" s="40" t="s">
        <v>361</v>
      </c>
      <c r="B246" s="3" t="s">
        <v>362</v>
      </c>
      <c r="C246" s="4" t="s">
        <v>20</v>
      </c>
      <c r="D246" s="5" t="s">
        <v>10</v>
      </c>
      <c r="E246" s="5" t="s">
        <v>10</v>
      </c>
    </row>
    <row r="247" spans="1:5" ht="45">
      <c r="A247" s="40" t="s">
        <v>363</v>
      </c>
      <c r="B247" s="3" t="s">
        <v>364</v>
      </c>
      <c r="C247" s="4" t="s">
        <v>9</v>
      </c>
    </row>
    <row r="248" spans="1:5" ht="30">
      <c r="A248" s="40" t="s">
        <v>365</v>
      </c>
      <c r="B248" s="431" t="s">
        <v>366</v>
      </c>
      <c r="C248" s="4" t="s">
        <v>9</v>
      </c>
      <c r="D248" s="2"/>
      <c r="E248" s="2"/>
    </row>
    <row r="249" spans="1:5">
      <c r="A249" s="40"/>
      <c r="B249" s="16"/>
      <c r="C249" s="16"/>
      <c r="D249" s="2"/>
      <c r="E249" s="2"/>
    </row>
    <row r="250" spans="1:5" ht="23.25">
      <c r="A250" s="39"/>
      <c r="B250" s="8" t="s">
        <v>367</v>
      </c>
      <c r="C250" s="1"/>
      <c r="D250" s="5" t="s">
        <v>10</v>
      </c>
      <c r="E250" s="5" t="s">
        <v>11</v>
      </c>
    </row>
    <row r="251" spans="1:5">
      <c r="A251" s="39">
        <v>11.2</v>
      </c>
      <c r="B251" s="9" t="s">
        <v>368</v>
      </c>
      <c r="C251" s="1"/>
      <c r="D251" s="5" t="s">
        <v>10</v>
      </c>
      <c r="E251" s="5" t="s">
        <v>11</v>
      </c>
    </row>
    <row r="252" spans="1:5" ht="102.6" customHeight="1">
      <c r="A252" s="40" t="s">
        <v>369</v>
      </c>
      <c r="B252" s="431" t="s">
        <v>370</v>
      </c>
      <c r="C252" s="4" t="s">
        <v>20</v>
      </c>
      <c r="D252" s="5" t="s">
        <v>10</v>
      </c>
      <c r="E252" s="5" t="s">
        <v>11</v>
      </c>
    </row>
    <row r="253" spans="1:5" ht="74.099999999999994" customHeight="1">
      <c r="A253" s="40" t="s">
        <v>371</v>
      </c>
      <c r="B253" s="3" t="s">
        <v>372</v>
      </c>
      <c r="C253" s="4" t="s">
        <v>20</v>
      </c>
      <c r="D253" s="5" t="s">
        <v>10</v>
      </c>
      <c r="E253" s="5" t="s">
        <v>11</v>
      </c>
    </row>
    <row r="254" spans="1:5" ht="90">
      <c r="A254" s="40" t="s">
        <v>373</v>
      </c>
      <c r="B254" s="431" t="s">
        <v>374</v>
      </c>
      <c r="C254" s="4" t="s">
        <v>20</v>
      </c>
      <c r="D254" s="5" t="s">
        <v>10</v>
      </c>
      <c r="E254" s="5" t="s">
        <v>11</v>
      </c>
    </row>
    <row r="255" spans="1:5" ht="116.1" customHeight="1">
      <c r="A255" s="40" t="s">
        <v>375</v>
      </c>
      <c r="B255" s="3" t="s">
        <v>376</v>
      </c>
      <c r="C255" s="4" t="s">
        <v>20</v>
      </c>
      <c r="D255" s="5" t="s">
        <v>10</v>
      </c>
      <c r="E255" s="5" t="s">
        <v>11</v>
      </c>
    </row>
    <row r="256" spans="1:5" ht="105">
      <c r="A256" s="40" t="s">
        <v>377</v>
      </c>
      <c r="B256" s="3" t="s">
        <v>378</v>
      </c>
      <c r="C256" s="4" t="s">
        <v>20</v>
      </c>
      <c r="D256" s="10"/>
      <c r="E256" s="10"/>
    </row>
    <row r="257" spans="1:5" ht="135">
      <c r="A257" s="40" t="s">
        <v>379</v>
      </c>
      <c r="B257" s="3" t="s">
        <v>380</v>
      </c>
      <c r="C257" s="4" t="s">
        <v>20</v>
      </c>
      <c r="D257" s="42"/>
      <c r="E257" s="42"/>
    </row>
    <row r="258" spans="1:5">
      <c r="A258" s="39">
        <v>11.3</v>
      </c>
      <c r="B258" s="18" t="s">
        <v>381</v>
      </c>
      <c r="C258" s="10"/>
      <c r="D258" s="329" t="s">
        <v>11</v>
      </c>
      <c r="E258" s="329" t="s">
        <v>11</v>
      </c>
    </row>
    <row r="259" spans="1:5">
      <c r="A259" s="40" t="s">
        <v>382</v>
      </c>
      <c r="B259" s="34" t="s">
        <v>383</v>
      </c>
      <c r="C259" s="42"/>
      <c r="D259" s="329"/>
      <c r="E259" s="329"/>
    </row>
    <row r="260" spans="1:5">
      <c r="A260" s="40"/>
      <c r="B260" s="3" t="s">
        <v>306</v>
      </c>
      <c r="C260" s="329" t="s">
        <v>70</v>
      </c>
      <c r="D260" s="2"/>
      <c r="E260" s="2"/>
    </row>
    <row r="261" spans="1:5">
      <c r="A261" s="40"/>
      <c r="B261" s="3" t="s">
        <v>384</v>
      </c>
      <c r="C261" s="329"/>
      <c r="D261" s="5" t="s">
        <v>10</v>
      </c>
      <c r="E261" s="5" t="s">
        <v>11</v>
      </c>
    </row>
    <row r="262" spans="1:5">
      <c r="A262" s="39">
        <v>11.4</v>
      </c>
      <c r="B262" s="9" t="s">
        <v>385</v>
      </c>
      <c r="C262" s="2"/>
      <c r="D262" s="5" t="s">
        <v>10</v>
      </c>
      <c r="E262" s="5" t="s">
        <v>11</v>
      </c>
    </row>
    <row r="263" spans="1:5" ht="60">
      <c r="A263" s="40" t="s">
        <v>386</v>
      </c>
      <c r="B263" s="3" t="s">
        <v>387</v>
      </c>
      <c r="C263" s="5" t="s">
        <v>9</v>
      </c>
      <c r="D263" s="5" t="s">
        <v>10</v>
      </c>
      <c r="E263" s="5" t="s">
        <v>11</v>
      </c>
    </row>
    <row r="264" spans="1:5" ht="30">
      <c r="A264" s="40" t="s">
        <v>388</v>
      </c>
      <c r="B264" s="3" t="s">
        <v>389</v>
      </c>
      <c r="C264" s="5" t="s">
        <v>9</v>
      </c>
      <c r="D264" s="5" t="s">
        <v>10</v>
      </c>
      <c r="E264" s="5" t="s">
        <v>11</v>
      </c>
    </row>
    <row r="265" spans="1:5" ht="45">
      <c r="A265" s="40" t="s">
        <v>390</v>
      </c>
      <c r="B265" s="3" t="s">
        <v>391</v>
      </c>
      <c r="C265" s="5" t="s">
        <v>9</v>
      </c>
      <c r="D265" s="5" t="s">
        <v>10</v>
      </c>
      <c r="E265" s="5" t="s">
        <v>11</v>
      </c>
    </row>
    <row r="266" spans="1:5" ht="90">
      <c r="A266" s="40" t="s">
        <v>392</v>
      </c>
      <c r="B266" s="431" t="s">
        <v>393</v>
      </c>
      <c r="C266" s="4" t="s">
        <v>20</v>
      </c>
      <c r="D266" s="5" t="s">
        <v>10</v>
      </c>
      <c r="E266" s="5" t="s">
        <v>11</v>
      </c>
    </row>
    <row r="267" spans="1:5" ht="30">
      <c r="A267" s="40" t="s">
        <v>394</v>
      </c>
      <c r="B267" s="3" t="s">
        <v>395</v>
      </c>
      <c r="C267" s="5" t="s">
        <v>9</v>
      </c>
      <c r="D267" s="5" t="s">
        <v>10</v>
      </c>
      <c r="E267" s="5" t="s">
        <v>11</v>
      </c>
    </row>
    <row r="268" spans="1:5" ht="30">
      <c r="A268" s="40" t="s">
        <v>396</v>
      </c>
      <c r="B268" s="3" t="s">
        <v>397</v>
      </c>
      <c r="C268" s="5" t="s">
        <v>9</v>
      </c>
      <c r="D268" s="5" t="s">
        <v>10</v>
      </c>
      <c r="E268" s="5" t="s">
        <v>11</v>
      </c>
    </row>
    <row r="269" spans="1:5" ht="45">
      <c r="A269" s="40" t="s">
        <v>398</v>
      </c>
      <c r="B269" s="3" t="s">
        <v>399</v>
      </c>
      <c r="C269" s="5" t="s">
        <v>9</v>
      </c>
      <c r="D269" s="5" t="s">
        <v>10</v>
      </c>
      <c r="E269" s="5" t="s">
        <v>11</v>
      </c>
    </row>
    <row r="270" spans="1:5" ht="30">
      <c r="A270" s="40" t="s">
        <v>400</v>
      </c>
      <c r="B270" s="3" t="s">
        <v>401</v>
      </c>
      <c r="C270" s="5" t="s">
        <v>9</v>
      </c>
      <c r="D270" s="5"/>
      <c r="E270" s="5"/>
    </row>
    <row r="271" spans="1:5" ht="45">
      <c r="A271" s="40" t="s">
        <v>402</v>
      </c>
      <c r="B271" s="3" t="s">
        <v>403</v>
      </c>
      <c r="C271" s="5" t="s">
        <v>9</v>
      </c>
      <c r="D271" s="2"/>
      <c r="E271" s="2"/>
    </row>
    <row r="272" spans="1:5">
      <c r="A272" s="40"/>
      <c r="B272" s="3"/>
      <c r="C272" s="5"/>
      <c r="D272" s="2"/>
      <c r="E272" s="2"/>
    </row>
    <row r="273" spans="1:5" ht="23.25">
      <c r="A273" s="39"/>
      <c r="B273" s="8" t="s">
        <v>404</v>
      </c>
      <c r="C273" s="2"/>
      <c r="D273" s="5" t="s">
        <v>10</v>
      </c>
      <c r="E273" s="5" t="s">
        <v>10</v>
      </c>
    </row>
    <row r="274" spans="1:5">
      <c r="A274" s="39">
        <v>12.2</v>
      </c>
      <c r="B274" s="9" t="s">
        <v>405</v>
      </c>
      <c r="C274" s="2"/>
      <c r="D274" s="5" t="s">
        <v>10</v>
      </c>
      <c r="E274" s="5" t="s">
        <v>10</v>
      </c>
    </row>
    <row r="275" spans="1:5" ht="30">
      <c r="A275" s="40" t="s">
        <v>406</v>
      </c>
      <c r="B275" s="3" t="s">
        <v>407</v>
      </c>
      <c r="C275" s="5" t="s">
        <v>9</v>
      </c>
      <c r="D275" s="5" t="s">
        <v>10</v>
      </c>
      <c r="E275" s="5" t="s">
        <v>10</v>
      </c>
    </row>
    <row r="276" spans="1:5" ht="30">
      <c r="A276" s="40" t="s">
        <v>408</v>
      </c>
      <c r="B276" s="3" t="s">
        <v>409</v>
      </c>
      <c r="C276" s="5" t="s">
        <v>9</v>
      </c>
      <c r="D276" s="5" t="s">
        <v>10</v>
      </c>
      <c r="E276" s="5" t="s">
        <v>10</v>
      </c>
    </row>
    <row r="277" spans="1:5" ht="30">
      <c r="A277" s="40" t="s">
        <v>410</v>
      </c>
      <c r="B277" s="3" t="s">
        <v>411</v>
      </c>
      <c r="C277" s="5" t="s">
        <v>9</v>
      </c>
      <c r="D277" s="5" t="s">
        <v>10</v>
      </c>
      <c r="E277" s="5" t="s">
        <v>10</v>
      </c>
    </row>
    <row r="278" spans="1:5" ht="30">
      <c r="A278" s="40" t="s">
        <v>412</v>
      </c>
      <c r="B278" s="3" t="s">
        <v>413</v>
      </c>
      <c r="C278" s="5" t="s">
        <v>9</v>
      </c>
      <c r="D278" s="4" t="s">
        <v>10</v>
      </c>
      <c r="E278" s="5" t="s">
        <v>11</v>
      </c>
    </row>
    <row r="279" spans="1:5" ht="30">
      <c r="A279" s="40" t="s">
        <v>414</v>
      </c>
      <c r="B279" s="3" t="s">
        <v>415</v>
      </c>
      <c r="C279" s="5" t="s">
        <v>9</v>
      </c>
      <c r="D279" s="4" t="s">
        <v>10</v>
      </c>
      <c r="E279" s="5" t="s">
        <v>11</v>
      </c>
    </row>
    <row r="280" spans="1:5" ht="30">
      <c r="A280" s="40" t="s">
        <v>416</v>
      </c>
      <c r="B280" s="3" t="s">
        <v>417</v>
      </c>
      <c r="C280" s="5" t="s">
        <v>9</v>
      </c>
      <c r="D280" s="10"/>
      <c r="E280" s="10"/>
    </row>
    <row r="281" spans="1:5" ht="45">
      <c r="A281" s="40" t="s">
        <v>418</v>
      </c>
      <c r="B281" s="3" t="s">
        <v>419</v>
      </c>
      <c r="C281" s="5" t="s">
        <v>9</v>
      </c>
      <c r="D281" s="5" t="s">
        <v>10</v>
      </c>
      <c r="E281" s="5" t="s">
        <v>11</v>
      </c>
    </row>
    <row r="282" spans="1:5">
      <c r="A282" s="39">
        <v>12.3</v>
      </c>
      <c r="B282" s="18" t="s">
        <v>420</v>
      </c>
      <c r="C282" s="10"/>
      <c r="D282" s="5"/>
      <c r="E282" s="5"/>
    </row>
    <row r="283" spans="1:5" ht="60">
      <c r="A283" s="40" t="s">
        <v>421</v>
      </c>
      <c r="B283" s="30" t="s">
        <v>422</v>
      </c>
      <c r="C283" s="5" t="s">
        <v>20</v>
      </c>
      <c r="D283" s="329" t="s">
        <v>11</v>
      </c>
      <c r="E283" s="329" t="s">
        <v>11</v>
      </c>
    </row>
    <row r="284" spans="1:5">
      <c r="A284" s="40" t="s">
        <v>423</v>
      </c>
      <c r="B284" s="34" t="s">
        <v>424</v>
      </c>
      <c r="C284" s="5"/>
      <c r="D284" s="329"/>
      <c r="E284" s="329"/>
    </row>
    <row r="285" spans="1:5">
      <c r="A285" s="40"/>
      <c r="B285" s="3" t="s">
        <v>425</v>
      </c>
      <c r="C285" s="329" t="s">
        <v>70</v>
      </c>
      <c r="D285" s="329"/>
      <c r="E285" s="329"/>
    </row>
    <row r="286" spans="1:5">
      <c r="A286" s="40"/>
      <c r="B286" s="3" t="s">
        <v>426</v>
      </c>
      <c r="C286" s="329"/>
      <c r="D286" s="10"/>
      <c r="E286" s="10"/>
    </row>
    <row r="287" spans="1:5">
      <c r="A287" s="40"/>
      <c r="B287" s="3" t="s">
        <v>427</v>
      </c>
      <c r="C287" s="329"/>
      <c r="D287" s="5" t="s">
        <v>10</v>
      </c>
      <c r="E287" s="5" t="s">
        <v>11</v>
      </c>
    </row>
    <row r="288" spans="1:5">
      <c r="A288" s="39">
        <v>12.4</v>
      </c>
      <c r="B288" s="18" t="s">
        <v>428</v>
      </c>
      <c r="C288" s="10"/>
      <c r="D288" s="15"/>
      <c r="E288" s="15"/>
    </row>
    <row r="289" spans="1:5" ht="75">
      <c r="A289" s="40" t="s">
        <v>429</v>
      </c>
      <c r="B289" s="3" t="s">
        <v>430</v>
      </c>
      <c r="C289" s="5" t="s">
        <v>20</v>
      </c>
      <c r="D289" s="2"/>
      <c r="E289" s="2"/>
    </row>
    <row r="290" spans="1:5">
      <c r="A290" s="40"/>
      <c r="B290" s="3"/>
      <c r="C290" s="15"/>
      <c r="D290" s="11"/>
      <c r="E290" s="11"/>
    </row>
    <row r="291" spans="1:5" ht="23.25">
      <c r="A291" s="39"/>
      <c r="B291" s="8" t="s">
        <v>431</v>
      </c>
      <c r="C291" s="2"/>
      <c r="D291" s="5" t="s">
        <v>10</v>
      </c>
      <c r="E291" s="5" t="s">
        <v>11</v>
      </c>
    </row>
    <row r="292" spans="1:5">
      <c r="A292" s="39">
        <v>13.2</v>
      </c>
      <c r="B292" s="18" t="s">
        <v>432</v>
      </c>
      <c r="C292" s="11"/>
      <c r="D292" s="5"/>
      <c r="E292" s="5"/>
    </row>
    <row r="293" spans="1:5" ht="15" customHeight="1">
      <c r="A293" s="40" t="s">
        <v>433</v>
      </c>
      <c r="B293" s="3" t="s">
        <v>434</v>
      </c>
      <c r="C293" s="5" t="s">
        <v>20</v>
      </c>
      <c r="D293" s="329" t="s">
        <v>11</v>
      </c>
      <c r="E293" s="329" t="s">
        <v>11</v>
      </c>
    </row>
    <row r="294" spans="1:5" ht="15" customHeight="1">
      <c r="A294" s="40" t="s">
        <v>435</v>
      </c>
      <c r="B294" s="34" t="s">
        <v>280</v>
      </c>
      <c r="C294" s="5"/>
      <c r="D294" s="329"/>
      <c r="E294" s="329"/>
    </row>
    <row r="295" spans="1:5">
      <c r="A295" s="37"/>
      <c r="B295" s="3" t="s">
        <v>267</v>
      </c>
      <c r="C295" s="329" t="s">
        <v>70</v>
      </c>
      <c r="D295" s="2"/>
      <c r="E295" s="2"/>
    </row>
    <row r="296" spans="1:5">
      <c r="A296" s="37"/>
      <c r="B296" s="29" t="s">
        <v>282</v>
      </c>
      <c r="C296" s="329"/>
      <c r="D296" s="5" t="s">
        <v>10</v>
      </c>
      <c r="E296" s="5" t="s">
        <v>11</v>
      </c>
    </row>
    <row r="297" spans="1:5">
      <c r="A297" s="39">
        <v>13.3</v>
      </c>
      <c r="B297" s="9" t="s">
        <v>436</v>
      </c>
      <c r="C297" s="2"/>
      <c r="D297" s="5" t="s">
        <v>10</v>
      </c>
      <c r="E297" s="5" t="s">
        <v>11</v>
      </c>
    </row>
    <row r="298" spans="1:5" ht="45">
      <c r="A298" s="40" t="s">
        <v>437</v>
      </c>
      <c r="B298" s="3" t="s">
        <v>438</v>
      </c>
      <c r="C298" s="5" t="s">
        <v>9</v>
      </c>
      <c r="D298" s="5" t="s">
        <v>10</v>
      </c>
      <c r="E298" s="5" t="s">
        <v>11</v>
      </c>
    </row>
    <row r="299" spans="1:5" ht="45">
      <c r="A299" s="40" t="s">
        <v>439</v>
      </c>
      <c r="B299" s="3" t="s">
        <v>440</v>
      </c>
      <c r="C299" s="5" t="s">
        <v>9</v>
      </c>
      <c r="D299" s="5" t="s">
        <v>10</v>
      </c>
      <c r="E299" s="5" t="s">
        <v>11</v>
      </c>
    </row>
    <row r="300" spans="1:5" ht="90">
      <c r="A300" s="40" t="s">
        <v>441</v>
      </c>
      <c r="B300" s="3" t="s">
        <v>442</v>
      </c>
      <c r="C300" s="5" t="s">
        <v>20</v>
      </c>
      <c r="D300" s="5" t="s">
        <v>10</v>
      </c>
      <c r="E300" s="5" t="s">
        <v>11</v>
      </c>
    </row>
    <row r="301" spans="1:5" ht="45">
      <c r="A301" s="40" t="s">
        <v>443</v>
      </c>
      <c r="B301" s="3" t="s">
        <v>444</v>
      </c>
      <c r="C301" s="5" t="s">
        <v>9</v>
      </c>
      <c r="D301" s="13"/>
      <c r="E301" s="13"/>
    </row>
    <row r="302" spans="1:5" ht="30">
      <c r="A302" s="40" t="s">
        <v>445</v>
      </c>
      <c r="B302" s="3" t="s">
        <v>446</v>
      </c>
      <c r="C302" s="5" t="s">
        <v>9</v>
      </c>
      <c r="D302" s="5" t="s">
        <v>10</v>
      </c>
      <c r="E302" s="5" t="s">
        <v>11</v>
      </c>
    </row>
    <row r="303" spans="1:5">
      <c r="A303" s="183">
        <v>13.4</v>
      </c>
      <c r="B303" s="18" t="s">
        <v>447</v>
      </c>
      <c r="C303" s="13"/>
      <c r="D303" s="5"/>
      <c r="E303" s="5"/>
    </row>
    <row r="304" spans="1:5" ht="120">
      <c r="A304" s="180" t="s">
        <v>448</v>
      </c>
      <c r="B304" s="34" t="s">
        <v>449</v>
      </c>
      <c r="C304" s="5" t="s">
        <v>20</v>
      </c>
      <c r="D304" s="4" t="s">
        <v>11</v>
      </c>
      <c r="E304" s="4" t="s">
        <v>11</v>
      </c>
    </row>
    <row r="305" spans="1:5">
      <c r="A305" s="180" t="s">
        <v>450</v>
      </c>
      <c r="B305" s="34" t="s">
        <v>451</v>
      </c>
      <c r="C305" s="5"/>
    </row>
    <row r="306" spans="1:5" ht="90">
      <c r="A306" s="180"/>
      <c r="B306" s="3" t="s">
        <v>452</v>
      </c>
      <c r="C306" s="4" t="s">
        <v>70</v>
      </c>
      <c r="D306" s="10"/>
      <c r="E306" s="10"/>
    </row>
    <row r="307" spans="1:5">
      <c r="A307" s="40"/>
      <c r="B307" s="16"/>
      <c r="D307" s="11"/>
      <c r="E307" s="11"/>
    </row>
    <row r="308" spans="1:5" ht="23.25">
      <c r="A308" s="182"/>
      <c r="B308" s="28" t="s">
        <v>453</v>
      </c>
      <c r="C308" s="10"/>
      <c r="D308" s="5" t="s">
        <v>10</v>
      </c>
      <c r="E308" s="5" t="s">
        <v>11</v>
      </c>
    </row>
    <row r="309" spans="1:5">
      <c r="A309" s="39">
        <v>14.2</v>
      </c>
      <c r="B309" s="18" t="s">
        <v>454</v>
      </c>
      <c r="C309" s="11"/>
      <c r="D309" s="5" t="s">
        <v>10</v>
      </c>
      <c r="E309" s="5" t="s">
        <v>11</v>
      </c>
    </row>
    <row r="310" spans="1:5" ht="90">
      <c r="A310" s="40" t="s">
        <v>455</v>
      </c>
      <c r="B310" s="20" t="s">
        <v>456</v>
      </c>
      <c r="C310" s="5" t="s">
        <v>20</v>
      </c>
      <c r="D310" s="5" t="s">
        <v>10</v>
      </c>
      <c r="E310" s="5" t="s">
        <v>11</v>
      </c>
    </row>
    <row r="311" spans="1:5" ht="90">
      <c r="A311" s="40" t="s">
        <v>457</v>
      </c>
      <c r="B311" s="20" t="s">
        <v>458</v>
      </c>
      <c r="C311" s="5" t="s">
        <v>20</v>
      </c>
      <c r="D311" s="11"/>
      <c r="E311" s="11"/>
    </row>
    <row r="312" spans="1:5" ht="90">
      <c r="A312" s="40" t="s">
        <v>459</v>
      </c>
      <c r="B312" s="20" t="s">
        <v>460</v>
      </c>
      <c r="C312" s="5" t="s">
        <v>20</v>
      </c>
      <c r="D312" s="5" t="s">
        <v>10</v>
      </c>
      <c r="E312" s="5" t="s">
        <v>11</v>
      </c>
    </row>
    <row r="313" spans="1:5">
      <c r="A313" s="39">
        <v>14.3</v>
      </c>
      <c r="B313" s="21" t="s">
        <v>461</v>
      </c>
      <c r="C313" s="11"/>
      <c r="D313" s="5" t="s">
        <v>10</v>
      </c>
      <c r="E313" s="5" t="s">
        <v>10</v>
      </c>
    </row>
    <row r="314" spans="1:5" ht="60">
      <c r="A314" s="40" t="s">
        <v>462</v>
      </c>
      <c r="B314" s="20" t="s">
        <v>463</v>
      </c>
      <c r="C314" s="5" t="s">
        <v>9</v>
      </c>
      <c r="D314" s="5" t="s">
        <v>10</v>
      </c>
      <c r="E314" s="5" t="s">
        <v>11</v>
      </c>
    </row>
    <row r="315" spans="1:5" ht="60">
      <c r="A315" s="40" t="s">
        <v>464</v>
      </c>
      <c r="B315" s="20" t="s">
        <v>465</v>
      </c>
      <c r="C315" s="5" t="s">
        <v>9</v>
      </c>
      <c r="D315" s="5" t="s">
        <v>10</v>
      </c>
      <c r="E315" s="5" t="s">
        <v>11</v>
      </c>
    </row>
    <row r="316" spans="1:5" ht="75">
      <c r="A316" s="40" t="s">
        <v>466</v>
      </c>
      <c r="B316" s="20" t="s">
        <v>467</v>
      </c>
      <c r="C316" s="5" t="s">
        <v>9</v>
      </c>
      <c r="D316" s="14"/>
      <c r="E316" s="14"/>
    </row>
    <row r="317" spans="1:5" ht="45">
      <c r="A317" s="40" t="s">
        <v>468</v>
      </c>
      <c r="B317" s="20" t="s">
        <v>469</v>
      </c>
      <c r="C317" s="5" t="s">
        <v>9</v>
      </c>
      <c r="D317" s="5" t="s">
        <v>10</v>
      </c>
      <c r="E317" s="5" t="s">
        <v>11</v>
      </c>
    </row>
    <row r="318" spans="1:5">
      <c r="A318" s="39">
        <v>14.4</v>
      </c>
      <c r="B318" s="21" t="s">
        <v>470</v>
      </c>
      <c r="C318" s="14"/>
      <c r="D318" s="5" t="s">
        <v>10</v>
      </c>
      <c r="E318" s="5" t="s">
        <v>11</v>
      </c>
    </row>
    <row r="319" spans="1:5" ht="45">
      <c r="A319" s="40" t="s">
        <v>471</v>
      </c>
      <c r="B319" s="20" t="s">
        <v>472</v>
      </c>
      <c r="C319" s="5" t="s">
        <v>9</v>
      </c>
      <c r="D319" s="5" t="s">
        <v>10</v>
      </c>
      <c r="E319" s="5" t="s">
        <v>10</v>
      </c>
    </row>
    <row r="320" spans="1:5" ht="45">
      <c r="A320" s="40" t="s">
        <v>473</v>
      </c>
      <c r="B320" s="20" t="s">
        <v>474</v>
      </c>
      <c r="C320" s="5" t="s">
        <v>9</v>
      </c>
      <c r="D320" s="11"/>
      <c r="E320" s="11"/>
    </row>
    <row r="321" spans="1:5" ht="45">
      <c r="A321" s="40" t="s">
        <v>475</v>
      </c>
      <c r="B321" s="20" t="s">
        <v>476</v>
      </c>
      <c r="C321" s="5" t="s">
        <v>9</v>
      </c>
      <c r="D321" s="5" t="s">
        <v>10</v>
      </c>
      <c r="E321" s="5" t="s">
        <v>11</v>
      </c>
    </row>
    <row r="322" spans="1:5">
      <c r="A322" s="39">
        <v>14.5</v>
      </c>
      <c r="B322" s="21" t="s">
        <v>477</v>
      </c>
      <c r="C322" s="11"/>
      <c r="D322" s="5" t="s">
        <v>10</v>
      </c>
      <c r="E322" s="5" t="s">
        <v>11</v>
      </c>
    </row>
    <row r="323" spans="1:5" ht="45">
      <c r="A323" s="40" t="s">
        <v>478</v>
      </c>
      <c r="B323" s="20" t="s">
        <v>479</v>
      </c>
      <c r="C323" s="5" t="s">
        <v>9</v>
      </c>
      <c r="D323" s="5" t="s">
        <v>10</v>
      </c>
      <c r="E323" s="5" t="s">
        <v>11</v>
      </c>
    </row>
    <row r="324" spans="1:5" ht="30">
      <c r="A324" s="40" t="s">
        <v>480</v>
      </c>
      <c r="B324" s="20" t="s">
        <v>481</v>
      </c>
      <c r="C324" s="5" t="s">
        <v>9</v>
      </c>
      <c r="D324" s="5" t="s">
        <v>10</v>
      </c>
      <c r="E324" s="5" t="s">
        <v>11</v>
      </c>
    </row>
    <row r="325" spans="1:5" ht="90">
      <c r="A325" s="40" t="s">
        <v>482</v>
      </c>
      <c r="B325" s="20" t="s">
        <v>483</v>
      </c>
      <c r="C325" s="5" t="s">
        <v>20</v>
      </c>
      <c r="D325" s="5" t="s">
        <v>10</v>
      </c>
      <c r="E325" s="5" t="s">
        <v>11</v>
      </c>
    </row>
    <row r="326" spans="1:5" ht="30">
      <c r="A326" s="40" t="s">
        <v>484</v>
      </c>
      <c r="B326" s="20" t="s">
        <v>485</v>
      </c>
      <c r="C326" s="5" t="s">
        <v>9</v>
      </c>
      <c r="D326" s="5"/>
      <c r="E326" s="5"/>
    </row>
    <row r="327" spans="1:5" ht="45">
      <c r="A327" s="40" t="s">
        <v>486</v>
      </c>
      <c r="B327" s="20" t="s">
        <v>487</v>
      </c>
      <c r="C327" s="5" t="s">
        <v>9</v>
      </c>
      <c r="D327" s="10"/>
      <c r="E327" s="10"/>
    </row>
    <row r="328" spans="1:5">
      <c r="A328" s="40"/>
      <c r="C328" s="5"/>
      <c r="D328" s="14"/>
      <c r="E328" s="14"/>
    </row>
    <row r="329" spans="1:5" ht="23.25">
      <c r="A329" s="182"/>
      <c r="B329" s="28" t="s">
        <v>488</v>
      </c>
      <c r="C329" s="10"/>
      <c r="D329" s="4" t="s">
        <v>10</v>
      </c>
      <c r="E329" s="4" t="s">
        <v>11</v>
      </c>
    </row>
    <row r="330" spans="1:5">
      <c r="A330" s="39">
        <v>15.2</v>
      </c>
      <c r="B330" s="21" t="s">
        <v>489</v>
      </c>
      <c r="C330" s="14"/>
      <c r="D330" s="4" t="s">
        <v>10</v>
      </c>
      <c r="E330" s="4" t="s">
        <v>10</v>
      </c>
    </row>
    <row r="331" spans="1:5" ht="45">
      <c r="A331" s="40" t="s">
        <v>490</v>
      </c>
      <c r="B331" s="20" t="s">
        <v>491</v>
      </c>
      <c r="C331" s="4" t="s">
        <v>9</v>
      </c>
      <c r="D331" s="5" t="s">
        <v>10</v>
      </c>
      <c r="E331" s="5" t="s">
        <v>11</v>
      </c>
    </row>
    <row r="332" spans="1:5" ht="30">
      <c r="A332" s="40" t="s">
        <v>492</v>
      </c>
      <c r="B332" s="20" t="s">
        <v>493</v>
      </c>
      <c r="C332" s="4" t="s">
        <v>9</v>
      </c>
      <c r="D332" s="5" t="s">
        <v>10</v>
      </c>
      <c r="E332" s="5" t="s">
        <v>11</v>
      </c>
    </row>
    <row r="333" spans="1:5" ht="45">
      <c r="A333" s="40" t="s">
        <v>494</v>
      </c>
      <c r="B333" s="20" t="s">
        <v>495</v>
      </c>
      <c r="C333" s="5" t="s">
        <v>9</v>
      </c>
      <c r="D333" s="5" t="s">
        <v>10</v>
      </c>
      <c r="E333" s="5" t="s">
        <v>11</v>
      </c>
    </row>
    <row r="334" spans="1:5" ht="90">
      <c r="A334" s="40" t="s">
        <v>496</v>
      </c>
      <c r="B334" s="20" t="s">
        <v>497</v>
      </c>
      <c r="C334" s="5" t="s">
        <v>20</v>
      </c>
      <c r="D334" s="5" t="s">
        <v>10</v>
      </c>
      <c r="E334" s="5" t="s">
        <v>11</v>
      </c>
    </row>
    <row r="335" spans="1:5" ht="90">
      <c r="A335" s="40" t="s">
        <v>498</v>
      </c>
      <c r="B335" s="20" t="s">
        <v>499</v>
      </c>
      <c r="C335" s="5" t="s">
        <v>20</v>
      </c>
      <c r="D335" s="14"/>
      <c r="E335" s="14"/>
    </row>
    <row r="336" spans="1:5" ht="90">
      <c r="A336" s="40" t="s">
        <v>500</v>
      </c>
      <c r="B336" s="20" t="s">
        <v>501</v>
      </c>
      <c r="C336" s="5" t="s">
        <v>20</v>
      </c>
      <c r="D336" s="5" t="s">
        <v>10</v>
      </c>
      <c r="E336" s="5" t="s">
        <v>10</v>
      </c>
    </row>
    <row r="337" spans="1:5">
      <c r="A337" s="39">
        <v>15.3</v>
      </c>
      <c r="B337" s="27" t="s">
        <v>502</v>
      </c>
      <c r="C337" s="14"/>
      <c r="D337" s="5" t="s">
        <v>10</v>
      </c>
      <c r="E337" s="5" t="s">
        <v>10</v>
      </c>
    </row>
    <row r="338" spans="1:5" ht="45">
      <c r="A338" s="40" t="s">
        <v>503</v>
      </c>
      <c r="B338" s="20" t="s">
        <v>504</v>
      </c>
      <c r="C338" s="5" t="s">
        <v>9</v>
      </c>
      <c r="D338" s="5" t="s">
        <v>10</v>
      </c>
      <c r="E338" s="5" t="s">
        <v>11</v>
      </c>
    </row>
    <row r="339" spans="1:5" ht="45">
      <c r="A339" s="40" t="s">
        <v>505</v>
      </c>
      <c r="B339" s="20" t="s">
        <v>506</v>
      </c>
      <c r="C339" s="5" t="s">
        <v>9</v>
      </c>
      <c r="D339" s="5" t="s">
        <v>10</v>
      </c>
      <c r="E339" s="5" t="s">
        <v>10</v>
      </c>
    </row>
    <row r="340" spans="1:5" ht="45">
      <c r="A340" s="40" t="s">
        <v>507</v>
      </c>
      <c r="B340" s="20" t="s">
        <v>508</v>
      </c>
      <c r="C340" s="5" t="s">
        <v>9</v>
      </c>
      <c r="D340" s="5" t="s">
        <v>10</v>
      </c>
      <c r="E340" s="5" t="s">
        <v>11</v>
      </c>
    </row>
    <row r="341" spans="1:5" ht="30">
      <c r="A341" s="40" t="s">
        <v>509</v>
      </c>
      <c r="B341" s="20" t="s">
        <v>510</v>
      </c>
      <c r="C341" s="5" t="s">
        <v>9</v>
      </c>
      <c r="D341" s="14"/>
      <c r="E341" s="14"/>
    </row>
    <row r="342" spans="1:5" ht="30">
      <c r="A342" s="40" t="s">
        <v>511</v>
      </c>
      <c r="B342" s="20" t="s">
        <v>512</v>
      </c>
      <c r="C342" s="5" t="s">
        <v>9</v>
      </c>
      <c r="D342" s="5" t="s">
        <v>10</v>
      </c>
      <c r="E342" s="5" t="s">
        <v>11</v>
      </c>
    </row>
    <row r="343" spans="1:5">
      <c r="A343" s="39">
        <v>15.4</v>
      </c>
      <c r="B343" s="27" t="s">
        <v>513</v>
      </c>
      <c r="C343" s="14"/>
      <c r="D343" s="5" t="s">
        <v>10</v>
      </c>
      <c r="E343" s="5" t="s">
        <v>10</v>
      </c>
    </row>
    <row r="344" spans="1:5" ht="45">
      <c r="A344" s="40" t="s">
        <v>514</v>
      </c>
      <c r="B344" s="20" t="s">
        <v>472</v>
      </c>
      <c r="C344" s="5" t="s">
        <v>9</v>
      </c>
      <c r="D344" s="5" t="s">
        <v>10</v>
      </c>
      <c r="E344" s="5" t="s">
        <v>10</v>
      </c>
    </row>
    <row r="345" spans="1:5" ht="30">
      <c r="A345" s="40" t="s">
        <v>515</v>
      </c>
      <c r="B345" s="20" t="s">
        <v>516</v>
      </c>
      <c r="C345" s="5" t="s">
        <v>9</v>
      </c>
    </row>
    <row r="346" spans="1:5" s="16" customFormat="1" ht="30">
      <c r="A346" s="40" t="s">
        <v>517</v>
      </c>
      <c r="B346" s="20" t="s">
        <v>518</v>
      </c>
      <c r="C346" s="5" t="s">
        <v>9</v>
      </c>
      <c r="D346" s="1"/>
      <c r="E346" s="1"/>
    </row>
    <row r="347" spans="1:5" s="16" customFormat="1">
      <c r="A347" s="40"/>
      <c r="C347"/>
      <c r="D347" s="1"/>
      <c r="E347" s="1"/>
    </row>
    <row r="348" spans="1:5" s="16" customFormat="1" ht="23.25">
      <c r="A348" s="39"/>
      <c r="B348" s="8" t="s">
        <v>519</v>
      </c>
      <c r="C348" s="1"/>
      <c r="D348" s="4" t="s">
        <v>10</v>
      </c>
      <c r="E348" s="4" t="s">
        <v>11</v>
      </c>
    </row>
    <row r="349" spans="1:5" s="16" customFormat="1">
      <c r="A349" s="39">
        <v>16.2</v>
      </c>
      <c r="B349" s="9" t="s">
        <v>520</v>
      </c>
      <c r="C349" s="1"/>
      <c r="D349" s="4" t="s">
        <v>10</v>
      </c>
      <c r="E349" s="4" t="s">
        <v>11</v>
      </c>
    </row>
    <row r="350" spans="1:5" s="16" customFormat="1" ht="105">
      <c r="A350" s="40" t="s">
        <v>521</v>
      </c>
      <c r="B350" s="3" t="s">
        <v>522</v>
      </c>
      <c r="C350" s="4" t="s">
        <v>20</v>
      </c>
      <c r="D350" s="4" t="s">
        <v>10</v>
      </c>
      <c r="E350" s="4" t="s">
        <v>10</v>
      </c>
    </row>
    <row r="351" spans="1:5" s="16" customFormat="1" ht="75">
      <c r="A351" s="40" t="s">
        <v>523</v>
      </c>
      <c r="B351" s="3" t="s">
        <v>524</v>
      </c>
      <c r="C351" s="4" t="s">
        <v>20</v>
      </c>
      <c r="D351" s="4" t="s">
        <v>10</v>
      </c>
      <c r="E351" s="4" t="s">
        <v>11</v>
      </c>
    </row>
    <row r="352" spans="1:5" s="16" customFormat="1" ht="45">
      <c r="A352" s="40" t="s">
        <v>525</v>
      </c>
      <c r="B352" s="3" t="s">
        <v>526</v>
      </c>
      <c r="C352" s="4" t="s">
        <v>9</v>
      </c>
      <c r="D352" s="4" t="s">
        <v>10</v>
      </c>
      <c r="E352" s="4" t="s">
        <v>11</v>
      </c>
    </row>
    <row r="353" spans="1:5" s="16" customFormat="1" ht="45">
      <c r="A353" s="40" t="s">
        <v>527</v>
      </c>
      <c r="B353" s="3" t="s">
        <v>528</v>
      </c>
      <c r="C353" s="4" t="s">
        <v>9</v>
      </c>
      <c r="D353" s="4" t="s">
        <v>10</v>
      </c>
      <c r="E353" s="4" t="s">
        <v>10</v>
      </c>
    </row>
    <row r="354" spans="1:5" s="16" customFormat="1" ht="30">
      <c r="A354" s="40" t="s">
        <v>529</v>
      </c>
      <c r="B354" s="3" t="s">
        <v>530</v>
      </c>
      <c r="C354" s="4" t="s">
        <v>9</v>
      </c>
      <c r="D354" s="4" t="s">
        <v>10</v>
      </c>
      <c r="E354" s="4" t="s">
        <v>11</v>
      </c>
    </row>
    <row r="355" spans="1:5" s="16" customFormat="1" ht="120">
      <c r="A355" s="40" t="s">
        <v>531</v>
      </c>
      <c r="B355" s="3" t="s">
        <v>532</v>
      </c>
      <c r="C355" s="4" t="s">
        <v>20</v>
      </c>
      <c r="D355" s="1"/>
      <c r="E355" s="1"/>
    </row>
    <row r="356" spans="1:5" s="16" customFormat="1" ht="60">
      <c r="A356" s="40" t="s">
        <v>533</v>
      </c>
      <c r="B356" s="3" t="s">
        <v>534</v>
      </c>
      <c r="C356" s="5" t="s">
        <v>9</v>
      </c>
      <c r="D356" s="4" t="s">
        <v>10</v>
      </c>
      <c r="E356" s="4" t="s">
        <v>11</v>
      </c>
    </row>
    <row r="357" spans="1:5" s="16" customFormat="1">
      <c r="A357" s="39">
        <v>16.3</v>
      </c>
      <c r="B357" s="9" t="s">
        <v>535</v>
      </c>
      <c r="C357" s="1"/>
      <c r="D357" s="4" t="s">
        <v>10</v>
      </c>
      <c r="E357" s="4" t="s">
        <v>11</v>
      </c>
    </row>
    <row r="358" spans="1:5" s="16" customFormat="1" ht="105">
      <c r="A358" s="40" t="s">
        <v>536</v>
      </c>
      <c r="B358" s="3" t="s">
        <v>537</v>
      </c>
      <c r="C358" s="4" t="s">
        <v>20</v>
      </c>
      <c r="D358" s="4" t="s">
        <v>10</v>
      </c>
      <c r="E358" s="4" t="s">
        <v>11</v>
      </c>
    </row>
    <row r="359" spans="1:5" s="16" customFormat="1" ht="60">
      <c r="A359" s="40" t="s">
        <v>538</v>
      </c>
      <c r="B359" s="3" t="s">
        <v>539</v>
      </c>
      <c r="C359" s="4" t="s">
        <v>9</v>
      </c>
      <c r="D359" s="4" t="s">
        <v>10</v>
      </c>
      <c r="E359" s="4" t="s">
        <v>11</v>
      </c>
    </row>
    <row r="360" spans="1:5" s="16" customFormat="1" ht="30">
      <c r="A360" s="40" t="s">
        <v>540</v>
      </c>
      <c r="B360" s="3" t="s">
        <v>541</v>
      </c>
      <c r="C360" s="4" t="s">
        <v>9</v>
      </c>
      <c r="D360" s="19"/>
      <c r="E360" s="19"/>
    </row>
    <row r="361" spans="1:5" s="16" customFormat="1" ht="45">
      <c r="A361" s="40" t="s">
        <v>542</v>
      </c>
      <c r="B361" s="3" t="s">
        <v>543</v>
      </c>
      <c r="C361" s="4" t="s">
        <v>9</v>
      </c>
      <c r="D361" s="46"/>
      <c r="E361" s="46"/>
    </row>
    <row r="362" spans="1:5" s="16" customFormat="1">
      <c r="A362" s="39">
        <v>16.399999999999999</v>
      </c>
      <c r="B362" s="18" t="s">
        <v>544</v>
      </c>
      <c r="C362" s="19"/>
      <c r="D362" s="330" t="s">
        <v>11</v>
      </c>
      <c r="E362" s="330" t="s">
        <v>11</v>
      </c>
    </row>
    <row r="363" spans="1:5" s="16" customFormat="1">
      <c r="A363" s="40" t="s">
        <v>545</v>
      </c>
      <c r="B363" s="34" t="s">
        <v>546</v>
      </c>
      <c r="C363" s="46"/>
      <c r="D363" s="330"/>
      <c r="E363" s="330"/>
    </row>
    <row r="364" spans="1:5" s="16" customFormat="1">
      <c r="A364" s="40"/>
      <c r="B364" s="20" t="s">
        <v>113</v>
      </c>
      <c r="C364" s="330" t="s">
        <v>70</v>
      </c>
      <c r="D364" s="4"/>
      <c r="E364" s="4"/>
    </row>
    <row r="365" spans="1:5" s="16" customFormat="1">
      <c r="A365" s="40"/>
      <c r="B365" s="20" t="s">
        <v>547</v>
      </c>
      <c r="C365" s="330"/>
      <c r="D365" s="4"/>
      <c r="E365" s="4"/>
    </row>
    <row r="366" spans="1:5">
      <c r="C366" s="4"/>
    </row>
    <row r="367" spans="1:5">
      <c r="C367" s="4"/>
    </row>
  </sheetData>
  <mergeCells count="75">
    <mergeCell ref="D64:D65"/>
    <mergeCell ref="E64:E65"/>
    <mergeCell ref="C227:C228"/>
    <mergeCell ref="D225:D226"/>
    <mergeCell ref="E225:E226"/>
    <mergeCell ref="E199:E200"/>
    <mergeCell ref="C205:C206"/>
    <mergeCell ref="C99:C100"/>
    <mergeCell ref="D99:D100"/>
    <mergeCell ref="E99:E100"/>
    <mergeCell ref="C105:C106"/>
    <mergeCell ref="D105:D106"/>
    <mergeCell ref="E105:E106"/>
    <mergeCell ref="D199:D200"/>
    <mergeCell ref="C142:C143"/>
    <mergeCell ref="D142:D143"/>
    <mergeCell ref="D10:D26"/>
    <mergeCell ref="E10:E26"/>
    <mergeCell ref="C10:C26"/>
    <mergeCell ref="C89:C90"/>
    <mergeCell ref="D89:D90"/>
    <mergeCell ref="E89:E90"/>
    <mergeCell ref="C75:C76"/>
    <mergeCell ref="D75:D76"/>
    <mergeCell ref="E75:E76"/>
    <mergeCell ref="C54:C55"/>
    <mergeCell ref="D54:D55"/>
    <mergeCell ref="E54:E55"/>
    <mergeCell ref="C36:C37"/>
    <mergeCell ref="D36:D37"/>
    <mergeCell ref="E36:E37"/>
    <mergeCell ref="C64:C65"/>
    <mergeCell ref="C235:C236"/>
    <mergeCell ref="C118:C126"/>
    <mergeCell ref="D118:D126"/>
    <mergeCell ref="E118:E126"/>
    <mergeCell ref="C114:C115"/>
    <mergeCell ref="D114:D115"/>
    <mergeCell ref="E114:E115"/>
    <mergeCell ref="D233:D234"/>
    <mergeCell ref="E233:E234"/>
    <mergeCell ref="C231:C232"/>
    <mergeCell ref="D229:D230"/>
    <mergeCell ref="D169:D170"/>
    <mergeCell ref="E169:E170"/>
    <mergeCell ref="D203:D204"/>
    <mergeCell ref="E203:E204"/>
    <mergeCell ref="E229:E230"/>
    <mergeCell ref="E142:E143"/>
    <mergeCell ref="C364:C365"/>
    <mergeCell ref="D362:D363"/>
    <mergeCell ref="E362:E363"/>
    <mergeCell ref="C260:C261"/>
    <mergeCell ref="D258:D259"/>
    <mergeCell ref="E258:E259"/>
    <mergeCell ref="C285:C287"/>
    <mergeCell ref="D283:D285"/>
    <mergeCell ref="E283:E285"/>
    <mergeCell ref="C295:C296"/>
    <mergeCell ref="D293:D294"/>
    <mergeCell ref="E293:E294"/>
    <mergeCell ref="C171:C172"/>
    <mergeCell ref="C223:C224"/>
    <mergeCell ref="D221:D222"/>
    <mergeCell ref="E178:E179"/>
    <mergeCell ref="C181:C182"/>
    <mergeCell ref="D178:D179"/>
    <mergeCell ref="E221:E222"/>
    <mergeCell ref="C197:C198"/>
    <mergeCell ref="D195:D196"/>
    <mergeCell ref="E195:E196"/>
    <mergeCell ref="C213:C218"/>
    <mergeCell ref="D211:D216"/>
    <mergeCell ref="E211:E216"/>
    <mergeCell ref="C201:C20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workbookViewId="0"/>
  </sheetViews>
  <sheetFormatPr defaultColWidth="8.85546875" defaultRowHeight="15"/>
  <cols>
    <col min="3" max="3" width="80.42578125" customWidth="1"/>
    <col min="4" max="4" width="16.42578125" customWidth="1"/>
  </cols>
  <sheetData>
    <row r="1" spans="1:16" ht="75">
      <c r="A1" s="124" t="s">
        <v>548</v>
      </c>
      <c r="B1" s="124" t="s">
        <v>0</v>
      </c>
      <c r="C1" s="124" t="s">
        <v>1</v>
      </c>
      <c r="D1" s="112" t="s">
        <v>549</v>
      </c>
      <c r="E1" s="112" t="s">
        <v>550</v>
      </c>
      <c r="F1" s="112" t="s">
        <v>551</v>
      </c>
      <c r="G1" s="112" t="s">
        <v>552</v>
      </c>
    </row>
    <row r="2" spans="1:16">
      <c r="A2" s="47" t="s">
        <v>553</v>
      </c>
      <c r="B2" s="47">
        <v>1.2</v>
      </c>
      <c r="C2" s="48" t="s">
        <v>66</v>
      </c>
      <c r="D2" s="80"/>
      <c r="E2" s="81"/>
      <c r="F2" s="81"/>
      <c r="G2" s="81"/>
    </row>
    <row r="3" spans="1:16">
      <c r="A3" s="333" t="s">
        <v>554</v>
      </c>
      <c r="B3" s="302" t="s">
        <v>67</v>
      </c>
      <c r="C3" s="51" t="s">
        <v>555</v>
      </c>
      <c r="D3" s="98"/>
      <c r="E3" s="99"/>
      <c r="F3" s="99"/>
      <c r="G3" s="99"/>
    </row>
    <row r="4" spans="1:16">
      <c r="A4" s="334"/>
      <c r="B4" s="303"/>
      <c r="C4" s="52" t="s">
        <v>69</v>
      </c>
      <c r="D4" s="53">
        <v>20458</v>
      </c>
      <c r="E4" s="198"/>
      <c r="F4" s="199"/>
      <c r="G4" s="199"/>
      <c r="I4" s="109"/>
      <c r="J4" s="110"/>
      <c r="K4" s="110"/>
      <c r="L4" s="110"/>
      <c r="M4" s="110"/>
      <c r="N4" s="110"/>
      <c r="O4" s="110"/>
      <c r="P4" s="110"/>
    </row>
    <row r="5" spans="1:16">
      <c r="A5" s="335"/>
      <c r="B5" s="304"/>
      <c r="C5" s="55" t="s">
        <v>71</v>
      </c>
      <c r="D5" s="53">
        <v>5326</v>
      </c>
      <c r="E5" s="200"/>
      <c r="F5" s="201"/>
      <c r="G5" s="201"/>
    </row>
    <row r="6" spans="1:16">
      <c r="A6" s="47" t="s">
        <v>553</v>
      </c>
      <c r="B6" s="47">
        <v>1.3</v>
      </c>
      <c r="C6" s="48" t="s">
        <v>72</v>
      </c>
      <c r="D6" s="202"/>
      <c r="E6" s="203"/>
      <c r="F6" s="203"/>
      <c r="G6" s="203"/>
    </row>
    <row r="7" spans="1:16" ht="45">
      <c r="A7" s="50" t="s">
        <v>554</v>
      </c>
      <c r="B7" s="50" t="s">
        <v>73</v>
      </c>
      <c r="C7" s="56" t="s">
        <v>556</v>
      </c>
      <c r="D7" s="54"/>
      <c r="E7" s="53" t="s">
        <v>557</v>
      </c>
      <c r="F7" s="57"/>
      <c r="G7" s="57"/>
    </row>
    <row r="8" spans="1:16" ht="45">
      <c r="A8" s="50" t="s">
        <v>554</v>
      </c>
      <c r="B8" s="50" t="s">
        <v>75</v>
      </c>
      <c r="C8" s="56" t="s">
        <v>558</v>
      </c>
      <c r="D8" s="54"/>
      <c r="E8" s="53" t="s">
        <v>559</v>
      </c>
      <c r="F8" s="59" t="s">
        <v>560</v>
      </c>
      <c r="G8" s="59" t="s">
        <v>559</v>
      </c>
    </row>
    <row r="9" spans="1:16" ht="60">
      <c r="A9" s="332" t="s">
        <v>554</v>
      </c>
      <c r="B9" s="336" t="s">
        <v>77</v>
      </c>
      <c r="C9" s="56" t="s">
        <v>561</v>
      </c>
      <c r="D9" s="54"/>
      <c r="E9" s="53" t="s">
        <v>559</v>
      </c>
      <c r="F9" s="189"/>
      <c r="G9" s="190"/>
    </row>
    <row r="10" spans="1:16">
      <c r="A10" s="332"/>
      <c r="B10" s="336"/>
      <c r="C10" s="56" t="s">
        <v>562</v>
      </c>
      <c r="D10" s="82"/>
      <c r="E10" s="53" t="s">
        <v>557</v>
      </c>
      <c r="F10" s="196" t="s">
        <v>560</v>
      </c>
      <c r="G10" s="196" t="s">
        <v>559</v>
      </c>
    </row>
    <row r="11" spans="1:16">
      <c r="A11" s="332"/>
      <c r="B11" s="336"/>
      <c r="C11" s="56" t="s">
        <v>563</v>
      </c>
      <c r="D11" s="60"/>
      <c r="E11" s="53" t="s">
        <v>559</v>
      </c>
      <c r="F11" s="197"/>
      <c r="G11" s="197"/>
    </row>
    <row r="12" spans="1:16" ht="60">
      <c r="A12" s="50" t="s">
        <v>554</v>
      </c>
      <c r="B12" s="50" t="s">
        <v>79</v>
      </c>
      <c r="C12" s="56" t="s">
        <v>564</v>
      </c>
      <c r="D12" s="54"/>
      <c r="E12" s="53" t="s">
        <v>557</v>
      </c>
      <c r="F12" s="57"/>
      <c r="G12" s="57"/>
    </row>
    <row r="13" spans="1:16" ht="45">
      <c r="A13" s="50" t="s">
        <v>554</v>
      </c>
      <c r="B13" s="50" t="s">
        <v>81</v>
      </c>
      <c r="C13" s="56" t="s">
        <v>565</v>
      </c>
      <c r="D13" s="58"/>
      <c r="E13" s="57" t="s">
        <v>557</v>
      </c>
      <c r="F13" s="57"/>
      <c r="G13" s="57"/>
    </row>
    <row r="14" spans="1:16">
      <c r="A14" s="47" t="s">
        <v>553</v>
      </c>
      <c r="B14" s="47">
        <v>1.4</v>
      </c>
      <c r="C14" s="48" t="s">
        <v>83</v>
      </c>
      <c r="D14" s="202"/>
      <c r="E14" s="203"/>
      <c r="F14" s="203"/>
      <c r="G14" s="203"/>
    </row>
    <row r="15" spans="1:16" ht="75">
      <c r="A15" s="333" t="s">
        <v>554</v>
      </c>
      <c r="B15" s="302" t="s">
        <v>84</v>
      </c>
      <c r="C15" s="56" t="s">
        <v>566</v>
      </c>
      <c r="D15" s="58"/>
      <c r="E15" s="57" t="s">
        <v>559</v>
      </c>
      <c r="F15" s="189"/>
      <c r="G15" s="190"/>
    </row>
    <row r="16" spans="1:16">
      <c r="A16" s="334"/>
      <c r="B16" s="303"/>
      <c r="C16" s="56" t="s">
        <v>562</v>
      </c>
      <c r="D16" s="195"/>
      <c r="E16" s="57" t="s">
        <v>557</v>
      </c>
      <c r="F16" s="196" t="s">
        <v>560</v>
      </c>
      <c r="G16" s="196" t="s">
        <v>559</v>
      </c>
    </row>
    <row r="17" spans="1:7">
      <c r="A17" s="335"/>
      <c r="B17" s="304"/>
      <c r="C17" s="56" t="s">
        <v>567</v>
      </c>
      <c r="D17" s="61"/>
      <c r="E17" s="57" t="s">
        <v>559</v>
      </c>
      <c r="F17" s="197"/>
      <c r="G17" s="197"/>
    </row>
    <row r="18" spans="1:7" ht="45">
      <c r="A18" s="50" t="s">
        <v>554</v>
      </c>
      <c r="B18" s="50" t="s">
        <v>86</v>
      </c>
      <c r="C18" s="56" t="s">
        <v>568</v>
      </c>
      <c r="D18" s="54"/>
      <c r="E18" s="53" t="s">
        <v>559</v>
      </c>
      <c r="F18" s="59" t="s">
        <v>569</v>
      </c>
      <c r="G18" s="59" t="s">
        <v>559</v>
      </c>
    </row>
    <row r="19" spans="1:7" ht="45">
      <c r="A19" s="333" t="s">
        <v>554</v>
      </c>
      <c r="B19" s="302" t="s">
        <v>88</v>
      </c>
      <c r="C19" s="56" t="s">
        <v>570</v>
      </c>
      <c r="D19" s="54"/>
      <c r="E19" s="53" t="s">
        <v>559</v>
      </c>
      <c r="F19" s="100"/>
      <c r="G19" s="191"/>
    </row>
    <row r="20" spans="1:7">
      <c r="A20" s="334"/>
      <c r="B20" s="303"/>
      <c r="C20" s="56" t="s">
        <v>571</v>
      </c>
      <c r="D20" s="82"/>
      <c r="E20" s="53" t="s">
        <v>559</v>
      </c>
      <c r="F20" s="186" t="s">
        <v>572</v>
      </c>
      <c r="G20" s="186" t="s">
        <v>559</v>
      </c>
    </row>
    <row r="21" spans="1:7">
      <c r="A21" s="335"/>
      <c r="B21" s="304"/>
      <c r="C21" s="56" t="s">
        <v>573</v>
      </c>
      <c r="D21" s="60"/>
      <c r="E21" s="53" t="s">
        <v>557</v>
      </c>
      <c r="F21" s="188"/>
      <c r="G21" s="188"/>
    </row>
    <row r="22" spans="1:7" ht="60">
      <c r="A22" s="332" t="s">
        <v>554</v>
      </c>
      <c r="B22" s="336" t="s">
        <v>90</v>
      </c>
      <c r="C22" s="56" t="s">
        <v>574</v>
      </c>
      <c r="D22" s="58"/>
      <c r="E22" s="57" t="s">
        <v>559</v>
      </c>
      <c r="F22" s="189"/>
      <c r="G22" s="190"/>
    </row>
    <row r="23" spans="1:7">
      <c r="A23" s="332"/>
      <c r="B23" s="336"/>
      <c r="C23" s="56" t="s">
        <v>575</v>
      </c>
      <c r="D23" s="192"/>
      <c r="E23" s="53" t="s">
        <v>559</v>
      </c>
      <c r="F23" s="186" t="s">
        <v>560</v>
      </c>
      <c r="G23" s="186" t="s">
        <v>559</v>
      </c>
    </row>
    <row r="24" spans="1:7">
      <c r="A24" s="332"/>
      <c r="B24" s="336"/>
      <c r="C24" s="56" t="s">
        <v>576</v>
      </c>
      <c r="D24" s="193"/>
      <c r="E24" s="53" t="s">
        <v>559</v>
      </c>
      <c r="F24" s="187"/>
      <c r="G24" s="187"/>
    </row>
    <row r="25" spans="1:7">
      <c r="A25" s="332"/>
      <c r="B25" s="336"/>
      <c r="C25" s="56" t="s">
        <v>577</v>
      </c>
      <c r="D25" s="193"/>
      <c r="E25" s="53" t="s">
        <v>557</v>
      </c>
      <c r="F25" s="187"/>
      <c r="G25" s="187"/>
    </row>
    <row r="26" spans="1:7">
      <c r="A26" s="332"/>
      <c r="B26" s="336"/>
      <c r="C26" s="56" t="s">
        <v>578</v>
      </c>
      <c r="D26" s="194"/>
      <c r="E26" s="53" t="s">
        <v>559</v>
      </c>
      <c r="F26" s="188"/>
      <c r="G26" s="188"/>
    </row>
  </sheetData>
  <mergeCells count="10">
    <mergeCell ref="A22:A26"/>
    <mergeCell ref="B3:B5"/>
    <mergeCell ref="A15:A17"/>
    <mergeCell ref="A9:A11"/>
    <mergeCell ref="A3:A5"/>
    <mergeCell ref="A19:A21"/>
    <mergeCell ref="B22:B26"/>
    <mergeCell ref="B19:B21"/>
    <mergeCell ref="B15:B17"/>
    <mergeCell ref="B9: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selection sqref="A1:G1"/>
    </sheetView>
  </sheetViews>
  <sheetFormatPr defaultColWidth="8.85546875" defaultRowHeight="15"/>
  <cols>
    <col min="1" max="1" width="9.42578125" customWidth="1"/>
    <col min="2" max="2" width="23" customWidth="1"/>
    <col min="3" max="3" width="80.42578125" customWidth="1"/>
    <col min="4" max="4" width="27.42578125" customWidth="1"/>
    <col min="6" max="6" width="9.42578125" customWidth="1"/>
    <col min="7" max="7" width="9.85546875" customWidth="1"/>
  </cols>
  <sheetData>
    <row r="1" spans="1:7" s="114" customFormat="1" ht="15" customHeight="1">
      <c r="A1" s="337" t="s">
        <v>579</v>
      </c>
      <c r="B1" s="337"/>
      <c r="C1" s="337"/>
      <c r="D1" s="337"/>
      <c r="E1" s="337"/>
      <c r="F1" s="337"/>
      <c r="G1" s="337"/>
    </row>
    <row r="2" spans="1:7" s="114" customFormat="1" ht="32.25" customHeight="1">
      <c r="A2" s="113" t="s">
        <v>548</v>
      </c>
      <c r="B2" s="115" t="s">
        <v>0</v>
      </c>
      <c r="C2" s="115" t="s">
        <v>1</v>
      </c>
      <c r="D2" s="113" t="s">
        <v>549</v>
      </c>
      <c r="E2" s="113" t="s">
        <v>550</v>
      </c>
      <c r="F2" s="113" t="s">
        <v>551</v>
      </c>
      <c r="G2" s="113" t="s">
        <v>552</v>
      </c>
    </row>
    <row r="3" spans="1:7">
      <c r="A3" s="47" t="s">
        <v>553</v>
      </c>
      <c r="B3" s="47">
        <v>1.2</v>
      </c>
      <c r="C3" s="48" t="s">
        <v>66</v>
      </c>
      <c r="D3" s="338"/>
      <c r="E3" s="339"/>
      <c r="F3" s="339"/>
      <c r="G3" s="339"/>
    </row>
    <row r="4" spans="1:7">
      <c r="A4" s="302" t="s">
        <v>554</v>
      </c>
      <c r="B4" s="302" t="s">
        <v>67</v>
      </c>
      <c r="C4" s="51" t="s">
        <v>68</v>
      </c>
      <c r="D4" s="340"/>
      <c r="E4" s="341"/>
      <c r="F4" s="341"/>
      <c r="G4" s="341"/>
    </row>
    <row r="5" spans="1:7">
      <c r="A5" s="303"/>
      <c r="B5" s="303"/>
      <c r="C5" s="52" t="s">
        <v>69</v>
      </c>
      <c r="D5" s="53"/>
      <c r="E5" s="342"/>
      <c r="F5" s="343"/>
      <c r="G5" s="343"/>
    </row>
    <row r="6" spans="1:7">
      <c r="A6" s="304"/>
      <c r="B6" s="304"/>
      <c r="C6" s="55" t="s">
        <v>71</v>
      </c>
      <c r="D6" s="53"/>
      <c r="E6" s="344"/>
      <c r="F6" s="345"/>
      <c r="G6" s="345"/>
    </row>
    <row r="7" spans="1:7">
      <c r="A7" s="47" t="s">
        <v>553</v>
      </c>
      <c r="B7" s="47">
        <v>1.3</v>
      </c>
      <c r="C7" s="48" t="s">
        <v>72</v>
      </c>
      <c r="D7" s="346"/>
      <c r="E7" s="347"/>
      <c r="F7" s="347"/>
      <c r="G7" s="347"/>
    </row>
    <row r="8" spans="1:7" ht="45">
      <c r="A8" s="50" t="s">
        <v>554</v>
      </c>
      <c r="B8" s="50" t="s">
        <v>73</v>
      </c>
      <c r="C8" s="56" t="s">
        <v>556</v>
      </c>
      <c r="D8" s="54"/>
      <c r="E8" s="53"/>
      <c r="F8" s="57"/>
      <c r="G8" s="57"/>
    </row>
    <row r="9" spans="1:7" ht="45">
      <c r="A9" s="50" t="s">
        <v>554</v>
      </c>
      <c r="B9" s="50" t="s">
        <v>75</v>
      </c>
      <c r="C9" s="56" t="s">
        <v>558</v>
      </c>
      <c r="D9" s="54"/>
      <c r="E9" s="53"/>
      <c r="F9" s="57"/>
      <c r="G9" s="57"/>
    </row>
    <row r="10" spans="1:7" ht="60">
      <c r="A10" s="302" t="s">
        <v>554</v>
      </c>
      <c r="B10" s="348" t="s">
        <v>77</v>
      </c>
      <c r="C10" s="56" t="s">
        <v>561</v>
      </c>
      <c r="D10" s="54"/>
      <c r="E10" s="53"/>
      <c r="F10" s="305"/>
      <c r="G10" s="306"/>
    </row>
    <row r="11" spans="1:7">
      <c r="A11" s="303"/>
      <c r="B11" s="349"/>
      <c r="C11" s="56" t="s">
        <v>562</v>
      </c>
      <c r="D11" s="351"/>
      <c r="E11" s="53"/>
      <c r="F11" s="308"/>
      <c r="G11" s="308"/>
    </row>
    <row r="12" spans="1:7">
      <c r="A12" s="304"/>
      <c r="B12" s="350"/>
      <c r="C12" s="56" t="s">
        <v>563</v>
      </c>
      <c r="D12" s="352"/>
      <c r="E12" s="53"/>
      <c r="F12" s="310"/>
      <c r="G12" s="310"/>
    </row>
    <row r="13" spans="1:7" ht="60">
      <c r="A13" s="50" t="s">
        <v>554</v>
      </c>
      <c r="B13" s="50" t="s">
        <v>79</v>
      </c>
      <c r="C13" s="56" t="s">
        <v>564</v>
      </c>
      <c r="D13" s="54"/>
      <c r="E13" s="53"/>
      <c r="F13" s="57"/>
      <c r="G13" s="57"/>
    </row>
    <row r="14" spans="1:7" ht="45">
      <c r="A14" s="50" t="s">
        <v>554</v>
      </c>
      <c r="B14" s="50" t="s">
        <v>81</v>
      </c>
      <c r="C14" s="56" t="s">
        <v>565</v>
      </c>
      <c r="D14" s="58"/>
      <c r="E14" s="57"/>
      <c r="F14" s="57"/>
      <c r="G14" s="57"/>
    </row>
    <row r="15" spans="1:7">
      <c r="A15" s="47" t="s">
        <v>553</v>
      </c>
      <c r="B15" s="47">
        <v>1.4</v>
      </c>
      <c r="C15" s="48" t="s">
        <v>83</v>
      </c>
      <c r="D15" s="346"/>
      <c r="E15" s="347"/>
      <c r="F15" s="347"/>
      <c r="G15" s="347"/>
    </row>
    <row r="16" spans="1:7" ht="75">
      <c r="A16" s="302" t="s">
        <v>554</v>
      </c>
      <c r="B16" s="302" t="s">
        <v>84</v>
      </c>
      <c r="C16" s="169" t="s">
        <v>580</v>
      </c>
      <c r="D16" s="58"/>
      <c r="E16" s="57"/>
      <c r="F16" s="305"/>
      <c r="G16" s="306"/>
    </row>
    <row r="17" spans="1:7">
      <c r="A17" s="303"/>
      <c r="B17" s="303"/>
      <c r="C17" s="56" t="s">
        <v>562</v>
      </c>
      <c r="D17" s="316"/>
      <c r="E17" s="57"/>
      <c r="F17" s="308"/>
      <c r="G17" s="308"/>
    </row>
    <row r="18" spans="1:7">
      <c r="A18" s="304"/>
      <c r="B18" s="304"/>
      <c r="C18" s="56" t="s">
        <v>567</v>
      </c>
      <c r="D18" s="328"/>
      <c r="E18" s="57"/>
      <c r="F18" s="310"/>
      <c r="G18" s="310"/>
    </row>
    <row r="19" spans="1:7" ht="45">
      <c r="A19" s="50" t="s">
        <v>554</v>
      </c>
      <c r="B19" s="50" t="s">
        <v>86</v>
      </c>
      <c r="C19" s="169" t="s">
        <v>581</v>
      </c>
      <c r="D19" s="54"/>
      <c r="E19" s="53"/>
      <c r="F19" s="57"/>
      <c r="G19" s="57"/>
    </row>
    <row r="20" spans="1:7" ht="45">
      <c r="A20" s="302" t="s">
        <v>554</v>
      </c>
      <c r="B20" s="302" t="s">
        <v>88</v>
      </c>
      <c r="C20" s="56" t="s">
        <v>570</v>
      </c>
      <c r="D20" s="54"/>
      <c r="E20" s="53"/>
      <c r="F20" s="353"/>
      <c r="G20" s="354"/>
    </row>
    <row r="21" spans="1:7">
      <c r="A21" s="303"/>
      <c r="B21" s="303"/>
      <c r="C21" s="56" t="s">
        <v>571</v>
      </c>
      <c r="D21" s="351"/>
      <c r="E21" s="53"/>
      <c r="F21" s="355"/>
      <c r="G21" s="355"/>
    </row>
    <row r="22" spans="1:7">
      <c r="A22" s="304"/>
      <c r="B22" s="304"/>
      <c r="C22" s="56" t="s">
        <v>573</v>
      </c>
      <c r="D22" s="352"/>
      <c r="E22" s="53"/>
      <c r="F22" s="356"/>
      <c r="G22" s="356"/>
    </row>
    <row r="23" spans="1:7" ht="60">
      <c r="A23" s="336" t="s">
        <v>554</v>
      </c>
      <c r="B23" s="336" t="s">
        <v>90</v>
      </c>
      <c r="C23" s="56" t="s">
        <v>574</v>
      </c>
      <c r="D23" s="58"/>
      <c r="E23" s="57"/>
      <c r="F23" s="305"/>
      <c r="G23" s="306"/>
    </row>
    <row r="24" spans="1:7">
      <c r="A24" s="336"/>
      <c r="B24" s="336"/>
      <c r="C24" s="56" t="s">
        <v>575</v>
      </c>
      <c r="D24" s="432"/>
      <c r="E24" s="49"/>
      <c r="F24" s="433"/>
      <c r="G24" s="433"/>
    </row>
    <row r="25" spans="1:7">
      <c r="A25" s="336"/>
      <c r="B25" s="336"/>
      <c r="C25" s="56" t="s">
        <v>576</v>
      </c>
      <c r="D25" s="434"/>
      <c r="E25" s="49"/>
      <c r="F25" s="435"/>
      <c r="G25" s="435"/>
    </row>
    <row r="26" spans="1:7">
      <c r="A26" s="336"/>
      <c r="B26" s="336"/>
      <c r="C26" s="56" t="s">
        <v>577</v>
      </c>
      <c r="D26" s="434"/>
      <c r="E26" s="49"/>
      <c r="F26" s="435"/>
      <c r="G26" s="435"/>
    </row>
    <row r="27" spans="1:7">
      <c r="A27" s="336"/>
      <c r="B27" s="336"/>
      <c r="C27" s="56" t="s">
        <v>578</v>
      </c>
      <c r="D27" s="436"/>
      <c r="E27" s="49"/>
      <c r="F27" s="437"/>
      <c r="G27" s="437"/>
    </row>
  </sheetData>
  <mergeCells count="31">
    <mergeCell ref="A23:A27"/>
    <mergeCell ref="B16:B18"/>
    <mergeCell ref="F16:G16"/>
    <mergeCell ref="F17:F18"/>
    <mergeCell ref="G17:G18"/>
    <mergeCell ref="D17:D18"/>
    <mergeCell ref="B23:B27"/>
    <mergeCell ref="F23:G23"/>
    <mergeCell ref="F24:F27"/>
    <mergeCell ref="G24:G27"/>
    <mergeCell ref="D24:D27"/>
    <mergeCell ref="B20:B22"/>
    <mergeCell ref="F20:G20"/>
    <mergeCell ref="F21:F22"/>
    <mergeCell ref="G21:G22"/>
    <mergeCell ref="D21:D22"/>
    <mergeCell ref="A20:A22"/>
    <mergeCell ref="A1:G1"/>
    <mergeCell ref="B4:B6"/>
    <mergeCell ref="A4:A6"/>
    <mergeCell ref="A10:A12"/>
    <mergeCell ref="A16:A18"/>
    <mergeCell ref="D3:G4"/>
    <mergeCell ref="E5:G6"/>
    <mergeCell ref="D7:G7"/>
    <mergeCell ref="B10:B12"/>
    <mergeCell ref="F10:G10"/>
    <mergeCell ref="F11:F12"/>
    <mergeCell ref="G11:G12"/>
    <mergeCell ref="D11:D12"/>
    <mergeCell ref="D15:G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2"/>
  <sheetViews>
    <sheetView workbookViewId="0">
      <selection sqref="A1:G1"/>
    </sheetView>
  </sheetViews>
  <sheetFormatPr defaultColWidth="8.85546875" defaultRowHeight="15"/>
  <cols>
    <col min="1" max="1" width="9.140625" style="111"/>
    <col min="2" max="2" width="23.140625" style="111" customWidth="1"/>
    <col min="3" max="3" width="80.42578125" customWidth="1"/>
    <col min="4" max="4" width="25.42578125" customWidth="1"/>
  </cols>
  <sheetData>
    <row r="1" spans="1:7" ht="14.45" customHeight="1">
      <c r="A1" s="364" t="s">
        <v>582</v>
      </c>
      <c r="B1" s="364"/>
      <c r="C1" s="364"/>
      <c r="D1" s="364"/>
      <c r="E1" s="364"/>
      <c r="F1" s="364"/>
      <c r="G1" s="364"/>
    </row>
    <row r="2" spans="1:7" ht="45" customHeight="1">
      <c r="A2" s="118" t="s">
        <v>548</v>
      </c>
      <c r="B2" s="147" t="s">
        <v>0</v>
      </c>
      <c r="C2" s="147" t="s">
        <v>1</v>
      </c>
      <c r="D2" s="119" t="s">
        <v>549</v>
      </c>
      <c r="E2" s="119" t="s">
        <v>550</v>
      </c>
      <c r="F2" s="119" t="s">
        <v>551</v>
      </c>
      <c r="G2" s="119" t="s">
        <v>552</v>
      </c>
    </row>
    <row r="3" spans="1:7">
      <c r="A3" s="47" t="s">
        <v>553</v>
      </c>
      <c r="B3" s="47">
        <v>2.2000000000000002</v>
      </c>
      <c r="C3" s="102" t="s">
        <v>93</v>
      </c>
      <c r="D3" s="63"/>
      <c r="E3" s="64"/>
      <c r="F3" s="64"/>
      <c r="G3" s="64"/>
    </row>
    <row r="4" spans="1:7" ht="37.5" customHeight="1">
      <c r="A4" s="336" t="s">
        <v>554</v>
      </c>
      <c r="B4" s="336" t="s">
        <v>94</v>
      </c>
      <c r="C4" s="101" t="s">
        <v>583</v>
      </c>
      <c r="D4" s="65"/>
      <c r="E4" s="65"/>
      <c r="F4" s="65"/>
      <c r="G4" s="65"/>
    </row>
    <row r="5" spans="1:7" ht="14.45" customHeight="1">
      <c r="A5" s="336"/>
      <c r="B5" s="336"/>
      <c r="C5" s="174" t="s">
        <v>584</v>
      </c>
      <c r="D5" s="365"/>
      <c r="E5" s="66"/>
      <c r="F5" s="367"/>
      <c r="G5" s="369"/>
    </row>
    <row r="6" spans="1:7" ht="14.45" customHeight="1">
      <c r="A6" s="336"/>
      <c r="B6" s="336"/>
      <c r="C6" s="174" t="s">
        <v>585</v>
      </c>
      <c r="D6" s="366"/>
      <c r="E6" s="66"/>
      <c r="F6" s="368"/>
      <c r="G6" s="370"/>
    </row>
    <row r="7" spans="1:7">
      <c r="A7" s="336" t="s">
        <v>554</v>
      </c>
      <c r="B7" s="336" t="s">
        <v>96</v>
      </c>
      <c r="C7" s="52" t="s">
        <v>93</v>
      </c>
      <c r="D7" s="371"/>
      <c r="E7" s="372"/>
      <c r="F7" s="372"/>
      <c r="G7" s="372"/>
    </row>
    <row r="8" spans="1:7">
      <c r="A8" s="336"/>
      <c r="B8" s="336"/>
      <c r="C8" s="52" t="s">
        <v>97</v>
      </c>
      <c r="D8" s="67"/>
      <c r="E8" s="373"/>
      <c r="F8" s="374"/>
      <c r="G8" s="374"/>
    </row>
    <row r="9" spans="1:7">
      <c r="A9" s="336"/>
      <c r="B9" s="336"/>
      <c r="C9" s="184" t="s">
        <v>98</v>
      </c>
      <c r="D9" s="68"/>
      <c r="E9" s="375"/>
      <c r="F9" s="376"/>
      <c r="G9" s="376"/>
    </row>
    <row r="10" spans="1:7">
      <c r="A10" s="47" t="s">
        <v>553</v>
      </c>
      <c r="B10" s="47">
        <v>2.2999999999999998</v>
      </c>
      <c r="C10" s="48" t="s">
        <v>99</v>
      </c>
      <c r="D10" s="346"/>
      <c r="E10" s="347"/>
      <c r="F10" s="347"/>
      <c r="G10" s="347"/>
    </row>
    <row r="11" spans="1:7" ht="41.45" customHeight="1">
      <c r="A11" s="50" t="s">
        <v>554</v>
      </c>
      <c r="B11" s="50" t="s">
        <v>100</v>
      </c>
      <c r="C11" s="56" t="s">
        <v>586</v>
      </c>
      <c r="D11" s="54"/>
      <c r="E11" s="53"/>
      <c r="F11" s="57"/>
      <c r="G11" s="57"/>
    </row>
    <row r="12" spans="1:7" ht="53.45" customHeight="1">
      <c r="A12" s="50" t="s">
        <v>554</v>
      </c>
      <c r="B12" s="50" t="s">
        <v>102</v>
      </c>
      <c r="C12" s="56" t="s">
        <v>587</v>
      </c>
      <c r="D12" s="54"/>
      <c r="E12" s="53"/>
      <c r="F12" s="57"/>
      <c r="G12" s="57"/>
    </row>
    <row r="13" spans="1:7">
      <c r="A13" s="336" t="s">
        <v>554</v>
      </c>
      <c r="B13" s="336" t="s">
        <v>104</v>
      </c>
      <c r="C13" s="357" t="s">
        <v>588</v>
      </c>
      <c r="D13" s="351"/>
      <c r="E13" s="355"/>
      <c r="F13" s="351"/>
      <c r="G13" s="351"/>
    </row>
    <row r="14" spans="1:7">
      <c r="A14" s="336"/>
      <c r="B14" s="336"/>
      <c r="C14" s="358"/>
      <c r="D14" s="360"/>
      <c r="E14" s="385"/>
      <c r="F14" s="360"/>
      <c r="G14" s="360"/>
    </row>
    <row r="15" spans="1:7">
      <c r="A15" s="336"/>
      <c r="B15" s="336"/>
      <c r="C15" s="359"/>
      <c r="D15" s="352"/>
      <c r="E15" s="356"/>
      <c r="F15" s="352"/>
      <c r="G15" s="352"/>
    </row>
    <row r="16" spans="1:7">
      <c r="A16" s="336"/>
      <c r="B16" s="336"/>
      <c r="C16" s="55" t="s">
        <v>589</v>
      </c>
      <c r="D16" s="351"/>
      <c r="E16" s="53"/>
      <c r="F16" s="308"/>
      <c r="G16" s="308"/>
    </row>
    <row r="17" spans="1:7">
      <c r="A17" s="336"/>
      <c r="B17" s="336"/>
      <c r="C17" s="69" t="s">
        <v>590</v>
      </c>
      <c r="D17" s="352"/>
      <c r="E17" s="53"/>
      <c r="F17" s="310"/>
      <c r="G17" s="310"/>
    </row>
    <row r="18" spans="1:7" ht="44.1" customHeight="1">
      <c r="A18" s="336" t="s">
        <v>554</v>
      </c>
      <c r="B18" s="336" t="s">
        <v>106</v>
      </c>
      <c r="C18" s="56" t="s">
        <v>591</v>
      </c>
      <c r="D18" s="60"/>
      <c r="E18" s="53"/>
      <c r="F18" s="61"/>
      <c r="G18" s="61"/>
    </row>
    <row r="19" spans="1:7">
      <c r="A19" s="336"/>
      <c r="B19" s="336"/>
      <c r="C19" s="55" t="s">
        <v>589</v>
      </c>
      <c r="D19" s="54"/>
      <c r="E19" s="53"/>
      <c r="F19" s="308"/>
      <c r="G19" s="308"/>
    </row>
    <row r="20" spans="1:7" ht="12.95" customHeight="1">
      <c r="A20" s="336"/>
      <c r="B20" s="336"/>
      <c r="C20" s="69" t="s">
        <v>590</v>
      </c>
      <c r="D20" s="58"/>
      <c r="E20" s="57"/>
      <c r="F20" s="310"/>
      <c r="G20" s="310"/>
    </row>
    <row r="21" spans="1:7" ht="45">
      <c r="A21" s="50" t="s">
        <v>554</v>
      </c>
      <c r="B21" s="50" t="s">
        <v>108</v>
      </c>
      <c r="C21" s="56" t="s">
        <v>592</v>
      </c>
      <c r="D21" s="58"/>
      <c r="E21" s="57"/>
      <c r="F21" s="57"/>
      <c r="G21" s="57"/>
    </row>
    <row r="22" spans="1:7">
      <c r="A22" s="220" t="s">
        <v>553</v>
      </c>
      <c r="B22" s="220">
        <v>2.4</v>
      </c>
      <c r="C22" s="23" t="s">
        <v>593</v>
      </c>
      <c r="D22" s="377"/>
      <c r="E22" s="378"/>
      <c r="F22" s="378"/>
      <c r="G22" s="378"/>
    </row>
    <row r="23" spans="1:7">
      <c r="A23" s="336" t="s">
        <v>554</v>
      </c>
      <c r="B23" s="336" t="s">
        <v>111</v>
      </c>
      <c r="C23" s="56" t="s">
        <v>112</v>
      </c>
      <c r="D23" s="379"/>
      <c r="E23" s="380"/>
      <c r="F23" s="380"/>
      <c r="G23" s="380"/>
    </row>
    <row r="24" spans="1:7">
      <c r="A24" s="336"/>
      <c r="B24" s="336"/>
      <c r="C24" s="56" t="s">
        <v>113</v>
      </c>
      <c r="D24" s="71"/>
      <c r="E24" s="381"/>
      <c r="F24" s="382"/>
      <c r="G24" s="382"/>
    </row>
    <row r="25" spans="1:7" ht="32.25" customHeight="1">
      <c r="A25" s="336"/>
      <c r="B25" s="336"/>
      <c r="C25" s="56" t="s">
        <v>114</v>
      </c>
      <c r="D25" s="70"/>
      <c r="E25" s="383"/>
      <c r="F25" s="384"/>
      <c r="G25" s="384"/>
    </row>
    <row r="26" spans="1:7">
      <c r="A26" s="47" t="s">
        <v>553</v>
      </c>
      <c r="B26" s="47">
        <v>2.5</v>
      </c>
      <c r="C26" s="72" t="s">
        <v>115</v>
      </c>
      <c r="D26" s="371"/>
      <c r="E26" s="372"/>
      <c r="F26" s="372"/>
      <c r="G26" s="372"/>
    </row>
    <row r="27" spans="1:7">
      <c r="A27" s="336" t="s">
        <v>554</v>
      </c>
      <c r="B27" s="336" t="s">
        <v>116</v>
      </c>
      <c r="C27" s="357" t="s">
        <v>594</v>
      </c>
      <c r="D27" s="351"/>
      <c r="E27" s="361"/>
      <c r="F27" s="74"/>
      <c r="G27" s="74"/>
    </row>
    <row r="28" spans="1:7">
      <c r="A28" s="336"/>
      <c r="B28" s="336"/>
      <c r="C28" s="358"/>
      <c r="D28" s="360"/>
      <c r="E28" s="362"/>
      <c r="F28" s="214"/>
      <c r="G28" s="214"/>
    </row>
    <row r="29" spans="1:7">
      <c r="A29" s="336"/>
      <c r="B29" s="336"/>
      <c r="C29" s="359"/>
      <c r="D29" s="352"/>
      <c r="E29" s="363"/>
      <c r="F29" s="75"/>
      <c r="G29" s="75"/>
    </row>
    <row r="30" spans="1:7">
      <c r="A30" s="336"/>
      <c r="B30" s="336"/>
      <c r="C30" s="56" t="s">
        <v>562</v>
      </c>
      <c r="D30" s="316"/>
      <c r="E30" s="57"/>
      <c r="F30" s="308"/>
      <c r="G30" s="308"/>
    </row>
    <row r="31" spans="1:7">
      <c r="A31" s="336"/>
      <c r="B31" s="336"/>
      <c r="C31" s="56" t="s">
        <v>567</v>
      </c>
      <c r="D31" s="328"/>
      <c r="E31" s="49"/>
      <c r="F31" s="310"/>
      <c r="G31" s="310"/>
    </row>
    <row r="32" spans="1:7">
      <c r="A32" s="336" t="s">
        <v>554</v>
      </c>
      <c r="B32" s="336" t="s">
        <v>118</v>
      </c>
      <c r="C32" s="357" t="s">
        <v>595</v>
      </c>
      <c r="D32" s="351"/>
      <c r="E32" s="361"/>
      <c r="F32" s="74"/>
      <c r="G32" s="74"/>
    </row>
    <row r="33" spans="1:7">
      <c r="A33" s="336"/>
      <c r="B33" s="336"/>
      <c r="C33" s="358"/>
      <c r="D33" s="360"/>
      <c r="E33" s="362"/>
      <c r="F33" s="214"/>
      <c r="G33" s="214"/>
    </row>
    <row r="34" spans="1:7">
      <c r="A34" s="336"/>
      <c r="B34" s="336"/>
      <c r="C34" s="359"/>
      <c r="D34" s="352"/>
      <c r="E34" s="363"/>
      <c r="F34" s="75"/>
      <c r="G34" s="75"/>
    </row>
    <row r="35" spans="1:7">
      <c r="A35" s="336"/>
      <c r="B35" s="336"/>
      <c r="C35" s="56" t="s">
        <v>562</v>
      </c>
      <c r="D35" s="316"/>
      <c r="E35" s="57"/>
      <c r="F35" s="308"/>
      <c r="G35" s="308"/>
    </row>
    <row r="36" spans="1:7">
      <c r="A36" s="336"/>
      <c r="B36" s="336"/>
      <c r="C36" s="56" t="s">
        <v>567</v>
      </c>
      <c r="D36" s="328"/>
      <c r="E36" s="49"/>
      <c r="F36" s="310"/>
      <c r="G36" s="310"/>
    </row>
    <row r="37" spans="1:7">
      <c r="A37" s="336" t="s">
        <v>554</v>
      </c>
      <c r="B37" s="336" t="s">
        <v>120</v>
      </c>
      <c r="C37" s="357" t="s">
        <v>596</v>
      </c>
      <c r="D37" s="351"/>
      <c r="E37" s="361"/>
      <c r="F37" s="74"/>
      <c r="G37" s="74"/>
    </row>
    <row r="38" spans="1:7">
      <c r="A38" s="336"/>
      <c r="B38" s="336"/>
      <c r="C38" s="358"/>
      <c r="D38" s="360"/>
      <c r="E38" s="362"/>
      <c r="F38" s="214"/>
      <c r="G38" s="214"/>
    </row>
    <row r="39" spans="1:7">
      <c r="A39" s="336"/>
      <c r="B39" s="336"/>
      <c r="C39" s="359"/>
      <c r="D39" s="352"/>
      <c r="E39" s="363"/>
      <c r="F39" s="75"/>
      <c r="G39" s="75"/>
    </row>
    <row r="40" spans="1:7">
      <c r="A40" s="336"/>
      <c r="B40" s="336"/>
      <c r="C40" s="56" t="s">
        <v>562</v>
      </c>
      <c r="D40" s="316"/>
      <c r="E40" s="57"/>
      <c r="F40" s="308"/>
      <c r="G40" s="308"/>
    </row>
    <row r="41" spans="1:7">
      <c r="A41" s="336"/>
      <c r="B41" s="336"/>
      <c r="C41" s="56" t="s">
        <v>567</v>
      </c>
      <c r="D41" s="328"/>
      <c r="E41" s="49"/>
      <c r="F41" s="310"/>
      <c r="G41" s="310"/>
    </row>
    <row r="42" spans="1:7" ht="30">
      <c r="A42" s="50" t="s">
        <v>554</v>
      </c>
      <c r="B42" s="50" t="s">
        <v>122</v>
      </c>
      <c r="C42" s="56" t="s">
        <v>597</v>
      </c>
      <c r="D42" s="54"/>
      <c r="E42" s="53"/>
      <c r="F42" s="57"/>
      <c r="G42" s="57"/>
    </row>
  </sheetData>
  <mergeCells count="54">
    <mergeCell ref="D10:G10"/>
    <mergeCell ref="D22:G23"/>
    <mergeCell ref="E24:G25"/>
    <mergeCell ref="G13:G15"/>
    <mergeCell ref="A13:A17"/>
    <mergeCell ref="D16:D17"/>
    <mergeCell ref="B18:B20"/>
    <mergeCell ref="B13:B17"/>
    <mergeCell ref="D13:D15"/>
    <mergeCell ref="E13:E15"/>
    <mergeCell ref="F13:F15"/>
    <mergeCell ref="C13:C15"/>
    <mergeCell ref="A18:A20"/>
    <mergeCell ref="A23:A25"/>
    <mergeCell ref="B23:B25"/>
    <mergeCell ref="D40:D41"/>
    <mergeCell ref="G40:G41"/>
    <mergeCell ref="F35:F36"/>
    <mergeCell ref="C27:C29"/>
    <mergeCell ref="F16:F17"/>
    <mergeCell ref="G16:G17"/>
    <mergeCell ref="F19:F20"/>
    <mergeCell ref="G19:G20"/>
    <mergeCell ref="D26:G26"/>
    <mergeCell ref="D27:D29"/>
    <mergeCell ref="E27:E29"/>
    <mergeCell ref="G30:G31"/>
    <mergeCell ref="F40:F41"/>
    <mergeCell ref="A1:G1"/>
    <mergeCell ref="A4:A6"/>
    <mergeCell ref="B4:B6"/>
    <mergeCell ref="A7:A9"/>
    <mergeCell ref="B7:B9"/>
    <mergeCell ref="D5:D6"/>
    <mergeCell ref="F5:F6"/>
    <mergeCell ref="G5:G6"/>
    <mergeCell ref="D7:G7"/>
    <mergeCell ref="E8:G9"/>
    <mergeCell ref="A37:A41"/>
    <mergeCell ref="G35:G36"/>
    <mergeCell ref="A27:A31"/>
    <mergeCell ref="A32:A36"/>
    <mergeCell ref="B27:B31"/>
    <mergeCell ref="D30:D31"/>
    <mergeCell ref="F30:F31"/>
    <mergeCell ref="B32:B36"/>
    <mergeCell ref="C32:C34"/>
    <mergeCell ref="D32:D34"/>
    <mergeCell ref="E32:E34"/>
    <mergeCell ref="D35:D36"/>
    <mergeCell ref="B37:B41"/>
    <mergeCell ref="C37:C39"/>
    <mergeCell ref="D37:D39"/>
    <mergeCell ref="E37:E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7"/>
  <sheetViews>
    <sheetView tabSelected="1" workbookViewId="0">
      <selection sqref="A1:J1"/>
    </sheetView>
  </sheetViews>
  <sheetFormatPr defaultColWidth="8.85546875" defaultRowHeight="15"/>
  <cols>
    <col min="1" max="1" width="9.42578125" style="111" customWidth="1"/>
    <col min="2" max="2" width="8.28515625" style="111" customWidth="1"/>
    <col min="3" max="3" width="44.7109375" customWidth="1"/>
    <col min="4" max="4" width="46.7109375" style="236" customWidth="1"/>
    <col min="5" max="5" width="21.7109375" style="236" customWidth="1"/>
    <col min="6" max="6" width="21.7109375" customWidth="1"/>
    <col min="10" max="10" width="40.28515625" style="231" customWidth="1"/>
  </cols>
  <sheetData>
    <row r="1" spans="1:10" ht="14.45" customHeight="1">
      <c r="A1" s="319" t="s">
        <v>598</v>
      </c>
      <c r="B1" s="319"/>
      <c r="C1" s="319"/>
      <c r="D1" s="319"/>
      <c r="E1" s="319"/>
      <c r="F1" s="319"/>
      <c r="G1" s="319"/>
      <c r="H1" s="319"/>
      <c r="I1" s="319"/>
      <c r="J1" s="319"/>
    </row>
    <row r="2" spans="1:10" s="15" customFormat="1" ht="44.25" customHeight="1">
      <c r="A2" s="120" t="s">
        <v>548</v>
      </c>
      <c r="B2" s="168" t="s">
        <v>0</v>
      </c>
      <c r="C2" s="168" t="s">
        <v>599</v>
      </c>
      <c r="D2" s="168" t="s">
        <v>600</v>
      </c>
      <c r="E2" s="168" t="s">
        <v>601</v>
      </c>
      <c r="F2" s="121" t="s">
        <v>549</v>
      </c>
      <c r="G2" s="121" t="s">
        <v>550</v>
      </c>
      <c r="H2" s="121" t="s">
        <v>551</v>
      </c>
      <c r="I2" s="121" t="s">
        <v>552</v>
      </c>
      <c r="J2" s="121" t="s">
        <v>602</v>
      </c>
    </row>
    <row r="3" spans="1:10">
      <c r="A3" s="47" t="s">
        <v>553</v>
      </c>
      <c r="B3" s="47">
        <v>3.2</v>
      </c>
      <c r="C3" s="232" t="s">
        <v>125</v>
      </c>
      <c r="D3" s="241" t="s">
        <v>603</v>
      </c>
      <c r="E3" s="246" t="s">
        <v>604</v>
      </c>
      <c r="F3" s="63"/>
      <c r="G3" s="64"/>
      <c r="H3" s="64"/>
      <c r="I3" s="64"/>
      <c r="J3" s="73"/>
    </row>
    <row r="4" spans="1:10" ht="30">
      <c r="A4" s="302" t="s">
        <v>554</v>
      </c>
      <c r="B4" s="302" t="s">
        <v>126</v>
      </c>
      <c r="C4" t="s">
        <v>127</v>
      </c>
      <c r="D4" s="242" t="s">
        <v>605</v>
      </c>
      <c r="E4" s="252"/>
      <c r="F4" s="320"/>
      <c r="G4" s="321"/>
      <c r="H4" s="321"/>
      <c r="I4" s="321"/>
      <c r="J4" s="73"/>
    </row>
    <row r="5" spans="1:10">
      <c r="A5" s="303"/>
      <c r="B5" s="303"/>
      <c r="C5" s="237" t="s">
        <v>113</v>
      </c>
      <c r="D5" s="242" t="s">
        <v>606</v>
      </c>
      <c r="E5" s="242"/>
      <c r="F5" s="211"/>
      <c r="G5" s="322"/>
      <c r="H5" s="323"/>
      <c r="I5" s="323"/>
      <c r="J5" s="73"/>
    </row>
    <row r="6" spans="1:10">
      <c r="A6" s="304"/>
      <c r="B6" s="304"/>
      <c r="C6" s="238" t="s">
        <v>128</v>
      </c>
      <c r="D6" s="242" t="s">
        <v>607</v>
      </c>
      <c r="E6" s="253"/>
      <c r="F6" s="212"/>
      <c r="G6" s="324"/>
      <c r="H6" s="325"/>
      <c r="I6" s="325"/>
      <c r="J6" s="73"/>
    </row>
    <row r="7" spans="1:10" ht="60">
      <c r="A7" s="47" t="s">
        <v>553</v>
      </c>
      <c r="B7" s="47">
        <v>3.3</v>
      </c>
      <c r="C7" s="233" t="s">
        <v>129</v>
      </c>
      <c r="D7" s="241" t="s">
        <v>608</v>
      </c>
      <c r="E7" s="246" t="s">
        <v>609</v>
      </c>
      <c r="F7" s="326"/>
      <c r="G7" s="327"/>
      <c r="H7" s="327"/>
      <c r="I7" s="327"/>
      <c r="J7" s="73"/>
    </row>
    <row r="8" spans="1:10" ht="60" customHeight="1">
      <c r="A8" s="302" t="s">
        <v>554</v>
      </c>
      <c r="B8" s="302" t="s">
        <v>130</v>
      </c>
      <c r="C8" s="238" t="s">
        <v>610</v>
      </c>
      <c r="D8" s="242" t="s">
        <v>611</v>
      </c>
      <c r="E8" s="242"/>
      <c r="F8" s="58"/>
      <c r="G8" s="57"/>
      <c r="H8" s="305"/>
      <c r="I8" s="306"/>
      <c r="J8" s="73"/>
    </row>
    <row r="9" spans="1:10" ht="18" customHeight="1">
      <c r="A9" s="303"/>
      <c r="B9" s="303"/>
      <c r="C9" s="238" t="s">
        <v>612</v>
      </c>
      <c r="D9" s="242" t="s">
        <v>613</v>
      </c>
      <c r="E9" s="254"/>
      <c r="F9" s="316"/>
      <c r="G9" s="57"/>
      <c r="H9" s="308"/>
      <c r="I9" s="311"/>
      <c r="J9" s="73"/>
    </row>
    <row r="10" spans="1:10" ht="18.95" customHeight="1">
      <c r="A10" s="303"/>
      <c r="B10" s="303"/>
      <c r="C10" s="238" t="s">
        <v>614</v>
      </c>
      <c r="D10" s="242" t="s">
        <v>615</v>
      </c>
      <c r="E10" s="255"/>
      <c r="F10" s="317"/>
      <c r="G10" s="57"/>
      <c r="H10" s="309"/>
      <c r="I10" s="312"/>
      <c r="J10" s="73"/>
    </row>
    <row r="11" spans="1:10" ht="18.600000000000001" customHeight="1">
      <c r="A11" s="304"/>
      <c r="B11" s="304"/>
      <c r="C11" s="238" t="s">
        <v>616</v>
      </c>
      <c r="D11" s="242" t="s">
        <v>617</v>
      </c>
      <c r="E11" s="253"/>
      <c r="F11" s="328"/>
      <c r="G11" s="57"/>
      <c r="H11" s="310"/>
      <c r="I11" s="313"/>
      <c r="J11" s="73"/>
    </row>
    <row r="12" spans="1:10" ht="178.5" customHeight="1">
      <c r="A12" s="302" t="s">
        <v>554</v>
      </c>
      <c r="B12" s="302" t="s">
        <v>132</v>
      </c>
      <c r="C12" s="438" t="s">
        <v>618</v>
      </c>
      <c r="D12" s="242" t="s">
        <v>619</v>
      </c>
      <c r="E12" s="241" t="s">
        <v>620</v>
      </c>
      <c r="F12" s="58"/>
      <c r="G12" s="57"/>
      <c r="H12" s="305"/>
      <c r="I12" s="306"/>
      <c r="J12" s="73"/>
    </row>
    <row r="13" spans="1:10" ht="22.5" customHeight="1">
      <c r="A13" s="303"/>
      <c r="B13" s="303"/>
      <c r="C13" s="239" t="s">
        <v>621</v>
      </c>
      <c r="D13" s="242" t="s">
        <v>622</v>
      </c>
      <c r="E13" s="254"/>
      <c r="F13" s="316"/>
      <c r="G13" s="57"/>
      <c r="H13" s="308"/>
      <c r="I13" s="311"/>
      <c r="J13" s="73"/>
    </row>
    <row r="14" spans="1:10" ht="22.5" customHeight="1">
      <c r="A14" s="303"/>
      <c r="B14" s="303"/>
      <c r="C14" s="239" t="s">
        <v>623</v>
      </c>
      <c r="D14" s="242" t="s">
        <v>624</v>
      </c>
      <c r="E14" s="255"/>
      <c r="F14" s="317"/>
      <c r="G14" s="57"/>
      <c r="H14" s="309"/>
      <c r="I14" s="312"/>
      <c r="J14" s="73"/>
    </row>
    <row r="15" spans="1:10" ht="23.25" customHeight="1">
      <c r="A15" s="304"/>
      <c r="B15" s="304"/>
      <c r="C15" s="239" t="s">
        <v>625</v>
      </c>
      <c r="D15" s="242" t="s">
        <v>626</v>
      </c>
      <c r="E15" s="255"/>
      <c r="F15" s="317"/>
      <c r="G15" s="57"/>
      <c r="H15" s="310"/>
      <c r="I15" s="313"/>
      <c r="J15" s="73"/>
    </row>
    <row r="16" spans="1:10" ht="61.5" customHeight="1">
      <c r="A16" s="302" t="s">
        <v>554</v>
      </c>
      <c r="B16" s="302" t="s">
        <v>134</v>
      </c>
      <c r="C16" s="239" t="s">
        <v>627</v>
      </c>
      <c r="D16" s="242" t="s">
        <v>628</v>
      </c>
      <c r="E16" s="242" t="s">
        <v>629</v>
      </c>
      <c r="F16" s="58"/>
      <c r="G16" s="57"/>
      <c r="H16" s="305"/>
      <c r="I16" s="306"/>
      <c r="J16" s="73"/>
    </row>
    <row r="17" spans="1:10" ht="18" customHeight="1">
      <c r="A17" s="303"/>
      <c r="B17" s="303"/>
      <c r="C17" s="239" t="s">
        <v>630</v>
      </c>
      <c r="D17" s="242" t="s">
        <v>631</v>
      </c>
      <c r="E17" s="254"/>
      <c r="F17" s="316"/>
      <c r="G17" s="57"/>
      <c r="H17" s="308"/>
      <c r="I17" s="311"/>
      <c r="J17" s="73"/>
    </row>
    <row r="18" spans="1:10" ht="18" customHeight="1">
      <c r="A18" s="303"/>
      <c r="B18" s="303"/>
      <c r="C18" s="239" t="s">
        <v>632</v>
      </c>
      <c r="D18" s="242" t="s">
        <v>633</v>
      </c>
      <c r="E18" s="255"/>
      <c r="F18" s="317"/>
      <c r="G18" s="57"/>
      <c r="H18" s="309"/>
      <c r="I18" s="312"/>
      <c r="J18" s="73"/>
    </row>
    <row r="19" spans="1:10" ht="21.6" customHeight="1">
      <c r="A19" s="304"/>
      <c r="B19" s="304"/>
      <c r="C19" s="240" t="s">
        <v>634</v>
      </c>
      <c r="D19" s="242" t="s">
        <v>635</v>
      </c>
      <c r="E19" s="255"/>
      <c r="F19" s="317"/>
      <c r="G19" s="57"/>
      <c r="H19" s="310"/>
      <c r="I19" s="313"/>
      <c r="J19" s="73"/>
    </row>
    <row r="20" spans="1:10" ht="78" customHeight="1">
      <c r="A20" s="302" t="s">
        <v>554</v>
      </c>
      <c r="B20" s="302" t="s">
        <v>136</v>
      </c>
      <c r="C20" s="438" t="s">
        <v>636</v>
      </c>
      <c r="D20" s="242" t="s">
        <v>637</v>
      </c>
      <c r="E20" s="242" t="s">
        <v>638</v>
      </c>
      <c r="F20" s="58"/>
      <c r="G20" s="57"/>
      <c r="H20" s="305"/>
      <c r="I20" s="306"/>
      <c r="J20" s="73"/>
    </row>
    <row r="21" spans="1:10" ht="18" customHeight="1">
      <c r="A21" s="303"/>
      <c r="B21" s="303"/>
      <c r="C21" s="239" t="s">
        <v>639</v>
      </c>
      <c r="D21" s="242" t="s">
        <v>640</v>
      </c>
      <c r="E21" s="254"/>
      <c r="F21" s="316"/>
      <c r="G21" s="57"/>
      <c r="H21" s="308"/>
      <c r="I21" s="311"/>
      <c r="J21" s="73"/>
    </row>
    <row r="22" spans="1:10" ht="21.6" customHeight="1">
      <c r="A22" s="304"/>
      <c r="B22" s="304"/>
      <c r="C22" s="240" t="s">
        <v>634</v>
      </c>
      <c r="D22" s="242" t="s">
        <v>635</v>
      </c>
      <c r="E22" s="255"/>
      <c r="F22" s="317"/>
      <c r="G22" s="57"/>
      <c r="H22" s="310"/>
      <c r="I22" s="313"/>
      <c r="J22" s="73"/>
    </row>
    <row r="23" spans="1:10" ht="54" customHeight="1">
      <c r="A23" s="302" t="s">
        <v>554</v>
      </c>
      <c r="B23" s="302" t="s">
        <v>138</v>
      </c>
      <c r="C23" s="239" t="s">
        <v>641</v>
      </c>
      <c r="D23" s="242" t="s">
        <v>642</v>
      </c>
      <c r="E23" s="242" t="s">
        <v>643</v>
      </c>
      <c r="F23" s="58"/>
      <c r="G23" s="57"/>
      <c r="H23" s="305"/>
      <c r="I23" s="306"/>
      <c r="J23" s="73"/>
    </row>
    <row r="24" spans="1:10" ht="18" customHeight="1">
      <c r="A24" s="303"/>
      <c r="B24" s="303"/>
      <c r="C24" s="239" t="s">
        <v>644</v>
      </c>
      <c r="D24" s="242" t="s">
        <v>645</v>
      </c>
      <c r="E24" s="254"/>
      <c r="F24" s="316"/>
      <c r="G24" s="57"/>
      <c r="H24" s="308"/>
      <c r="I24" s="311"/>
      <c r="J24" s="73"/>
    </row>
    <row r="25" spans="1:10" ht="18" customHeight="1">
      <c r="A25" s="303"/>
      <c r="B25" s="303"/>
      <c r="C25" s="239" t="s">
        <v>646</v>
      </c>
      <c r="D25" s="242" t="s">
        <v>647</v>
      </c>
      <c r="E25" s="255"/>
      <c r="F25" s="317"/>
      <c r="G25" s="57"/>
      <c r="H25" s="309"/>
      <c r="I25" s="312"/>
      <c r="J25" s="73"/>
    </row>
    <row r="26" spans="1:10" ht="21.6" customHeight="1">
      <c r="A26" s="304"/>
      <c r="B26" s="304"/>
      <c r="C26" s="240" t="s">
        <v>648</v>
      </c>
      <c r="D26" s="242" t="s">
        <v>649</v>
      </c>
      <c r="E26" s="255"/>
      <c r="F26" s="317"/>
      <c r="G26" s="57"/>
      <c r="H26" s="310"/>
      <c r="I26" s="313"/>
      <c r="J26" s="73"/>
    </row>
    <row r="27" spans="1:10" ht="54" customHeight="1">
      <c r="A27" s="302" t="s">
        <v>554</v>
      </c>
      <c r="B27" s="302" t="s">
        <v>140</v>
      </c>
      <c r="C27" s="239" t="s">
        <v>650</v>
      </c>
      <c r="D27" s="242" t="s">
        <v>651</v>
      </c>
      <c r="E27" s="254" t="s">
        <v>652</v>
      </c>
      <c r="F27" s="195"/>
      <c r="G27" s="57"/>
      <c r="H27" s="305"/>
      <c r="I27" s="306"/>
      <c r="J27" s="73"/>
    </row>
    <row r="28" spans="1:10" ht="18" customHeight="1">
      <c r="A28" s="303"/>
      <c r="B28" s="303"/>
      <c r="C28" s="239" t="s">
        <v>653</v>
      </c>
      <c r="D28" s="242" t="s">
        <v>654</v>
      </c>
      <c r="E28" s="255"/>
      <c r="F28" s="314"/>
      <c r="G28" s="213"/>
      <c r="H28" s="318"/>
      <c r="I28" s="311"/>
      <c r="J28" s="73"/>
    </row>
    <row r="29" spans="1:10" ht="21.6" customHeight="1">
      <c r="A29" s="304"/>
      <c r="B29" s="304"/>
      <c r="C29" s="238" t="s">
        <v>655</v>
      </c>
      <c r="D29" s="242" t="s">
        <v>656</v>
      </c>
      <c r="E29" s="255"/>
      <c r="F29" s="315"/>
      <c r="G29" s="57"/>
      <c r="H29" s="310"/>
      <c r="I29" s="313"/>
      <c r="J29" s="73"/>
    </row>
    <row r="30" spans="1:10" ht="45">
      <c r="A30" s="302" t="s">
        <v>554</v>
      </c>
      <c r="B30" s="302" t="s">
        <v>142</v>
      </c>
      <c r="C30" s="239" t="s">
        <v>657</v>
      </c>
      <c r="D30" s="242" t="s">
        <v>658</v>
      </c>
      <c r="E30" s="242" t="s">
        <v>643</v>
      </c>
      <c r="F30" s="58"/>
      <c r="G30" s="57"/>
      <c r="H30" s="305"/>
      <c r="I30" s="306"/>
      <c r="J30" s="73"/>
    </row>
    <row r="31" spans="1:10" ht="14.45" customHeight="1">
      <c r="A31" s="303"/>
      <c r="B31" s="303"/>
      <c r="C31" s="239" t="s">
        <v>644</v>
      </c>
      <c r="D31" s="242" t="s">
        <v>645</v>
      </c>
      <c r="E31" s="242"/>
      <c r="F31" s="307"/>
      <c r="G31" s="57"/>
      <c r="H31" s="308"/>
      <c r="I31" s="311"/>
      <c r="J31" s="73"/>
    </row>
    <row r="32" spans="1:10" ht="14.45" customHeight="1">
      <c r="A32" s="303"/>
      <c r="B32" s="303"/>
      <c r="C32" s="239" t="s">
        <v>646</v>
      </c>
      <c r="D32" s="242" t="s">
        <v>647</v>
      </c>
      <c r="E32" s="242"/>
      <c r="F32" s="307"/>
      <c r="G32" s="57"/>
      <c r="H32" s="309"/>
      <c r="I32" s="312"/>
      <c r="J32" s="73"/>
    </row>
    <row r="33" spans="1:10" ht="14.45" customHeight="1">
      <c r="A33" s="304"/>
      <c r="B33" s="304"/>
      <c r="C33" s="240" t="s">
        <v>648</v>
      </c>
      <c r="D33" s="242" t="s">
        <v>649</v>
      </c>
      <c r="E33" s="242"/>
      <c r="F33" s="307"/>
      <c r="G33" s="57"/>
      <c r="H33" s="310"/>
      <c r="I33" s="313"/>
      <c r="J33" s="73"/>
    </row>
    <row r="36" spans="1:10">
      <c r="D36" s="235"/>
      <c r="E36" s="235"/>
    </row>
    <row r="37" spans="1:10">
      <c r="D37" s="235"/>
      <c r="E37" s="235"/>
    </row>
    <row r="38" spans="1:10">
      <c r="D38" s="235"/>
      <c r="E38" s="235"/>
    </row>
    <row r="39" spans="1:10">
      <c r="D39" s="235"/>
      <c r="E39" s="235"/>
    </row>
    <row r="40" spans="1:10">
      <c r="D40" s="235"/>
      <c r="E40" s="235"/>
    </row>
    <row r="41" spans="1:10">
      <c r="D41" s="235"/>
      <c r="E41" s="235"/>
    </row>
    <row r="42" spans="1:10">
      <c r="D42" s="235"/>
      <c r="E42" s="235"/>
    </row>
    <row r="43" spans="1:10">
      <c r="D43" s="235"/>
      <c r="E43" s="235"/>
    </row>
    <row r="44" spans="1:10">
      <c r="D44" s="235"/>
      <c r="E44" s="235"/>
    </row>
    <row r="45" spans="1:10">
      <c r="D45" s="235"/>
      <c r="E45" s="235"/>
    </row>
    <row r="46" spans="1:10">
      <c r="D46" s="235"/>
      <c r="E46" s="235"/>
    </row>
    <row r="47" spans="1:10">
      <c r="D47" s="235"/>
      <c r="E47" s="235"/>
    </row>
    <row r="48" spans="1:10">
      <c r="D48" s="235"/>
      <c r="E48" s="235"/>
    </row>
    <row r="49" spans="4:5">
      <c r="D49" s="235"/>
      <c r="E49" s="235"/>
    </row>
    <row r="50" spans="4:5">
      <c r="D50" s="235"/>
      <c r="E50" s="235"/>
    </row>
    <row r="51" spans="4:5">
      <c r="D51" s="235"/>
      <c r="E51" s="235"/>
    </row>
    <row r="52" spans="4:5">
      <c r="D52" s="235"/>
      <c r="E52" s="235"/>
    </row>
    <row r="53" spans="4:5">
      <c r="D53" s="235"/>
      <c r="E53" s="235"/>
    </row>
    <row r="54" spans="4:5">
      <c r="D54" s="235"/>
      <c r="E54" s="235"/>
    </row>
    <row r="55" spans="4:5">
      <c r="D55" s="235"/>
      <c r="E55" s="235"/>
    </row>
    <row r="56" spans="4:5">
      <c r="D56" s="235"/>
      <c r="E56" s="235"/>
    </row>
    <row r="57" spans="4:5">
      <c r="D57" s="235"/>
      <c r="E57" s="235"/>
    </row>
    <row r="58" spans="4:5">
      <c r="D58" s="235"/>
      <c r="E58" s="235"/>
    </row>
    <row r="59" spans="4:5">
      <c r="D59" s="235"/>
      <c r="E59" s="235"/>
    </row>
    <row r="60" spans="4:5">
      <c r="D60" s="235"/>
      <c r="E60" s="235"/>
    </row>
    <row r="61" spans="4:5">
      <c r="D61" s="235"/>
      <c r="E61" s="235"/>
    </row>
    <row r="62" spans="4:5">
      <c r="D62" s="235"/>
      <c r="E62" s="235"/>
    </row>
    <row r="63" spans="4:5">
      <c r="D63" s="235"/>
      <c r="E63" s="235"/>
    </row>
    <row r="64" spans="4:5">
      <c r="D64" s="235"/>
      <c r="E64" s="235"/>
    </row>
    <row r="65" spans="4:5">
      <c r="D65" s="235"/>
      <c r="E65" s="235"/>
    </row>
    <row r="66" spans="4:5">
      <c r="D66" s="235"/>
      <c r="E66" s="235"/>
    </row>
    <row r="67" spans="4:5">
      <c r="D67" s="235"/>
      <c r="E67" s="235"/>
    </row>
    <row r="68" spans="4:5">
      <c r="D68" s="235"/>
      <c r="E68" s="235"/>
    </row>
    <row r="69" spans="4:5">
      <c r="D69" s="235"/>
      <c r="E69" s="235"/>
    </row>
    <row r="70" spans="4:5">
      <c r="D70" s="235"/>
      <c r="E70" s="235"/>
    </row>
    <row r="71" spans="4:5">
      <c r="D71" s="235"/>
      <c r="E71" s="235"/>
    </row>
    <row r="72" spans="4:5">
      <c r="D72" s="235"/>
      <c r="E72" s="235"/>
    </row>
    <row r="73" spans="4:5">
      <c r="D73" s="235"/>
      <c r="E73" s="235"/>
    </row>
    <row r="74" spans="4:5">
      <c r="D74" s="235"/>
      <c r="E74" s="235"/>
    </row>
    <row r="75" spans="4:5">
      <c r="D75" s="235"/>
      <c r="E75" s="235"/>
    </row>
    <row r="76" spans="4:5">
      <c r="D76" s="235"/>
      <c r="E76" s="235"/>
    </row>
    <row r="77" spans="4:5">
      <c r="D77" s="235"/>
      <c r="E77" s="235"/>
    </row>
  </sheetData>
  <mergeCells count="48">
    <mergeCell ref="A1:J1"/>
    <mergeCell ref="F17:F19"/>
    <mergeCell ref="H12:I12"/>
    <mergeCell ref="F13:F15"/>
    <mergeCell ref="I13:I15"/>
    <mergeCell ref="H13:H15"/>
    <mergeCell ref="H16:I16"/>
    <mergeCell ref="F4:I4"/>
    <mergeCell ref="G5:I6"/>
    <mergeCell ref="F7:I7"/>
    <mergeCell ref="H8:I8"/>
    <mergeCell ref="A4:A6"/>
    <mergeCell ref="A8:A11"/>
    <mergeCell ref="B4:B6"/>
    <mergeCell ref="B8:B11"/>
    <mergeCell ref="F9:F11"/>
    <mergeCell ref="F28:F29"/>
    <mergeCell ref="H9:H11"/>
    <mergeCell ref="I9:I11"/>
    <mergeCell ref="H23:I23"/>
    <mergeCell ref="F24:F26"/>
    <mergeCell ref="H27:I27"/>
    <mergeCell ref="H21:H22"/>
    <mergeCell ref="I21:I22"/>
    <mergeCell ref="H20:I20"/>
    <mergeCell ref="F21:F22"/>
    <mergeCell ref="H24:H26"/>
    <mergeCell ref="I24:I26"/>
    <mergeCell ref="H28:H29"/>
    <mergeCell ref="I28:I29"/>
    <mergeCell ref="H17:H19"/>
    <mergeCell ref="I17:I19"/>
    <mergeCell ref="A23:A26"/>
    <mergeCell ref="B23:B26"/>
    <mergeCell ref="A27:A29"/>
    <mergeCell ref="B27:B29"/>
    <mergeCell ref="B12:B15"/>
    <mergeCell ref="A12:A15"/>
    <mergeCell ref="A16:A19"/>
    <mergeCell ref="B16:B19"/>
    <mergeCell ref="A20:A22"/>
    <mergeCell ref="B20:B22"/>
    <mergeCell ref="A30:A33"/>
    <mergeCell ref="B30:B33"/>
    <mergeCell ref="H30:I30"/>
    <mergeCell ref="F31:F33"/>
    <mergeCell ref="H31:H33"/>
    <mergeCell ref="I31:I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workbookViewId="0">
      <selection sqref="A1:J1"/>
    </sheetView>
  </sheetViews>
  <sheetFormatPr defaultColWidth="8.85546875" defaultRowHeight="15"/>
  <cols>
    <col min="1" max="1" width="8.7109375" style="111" customWidth="1"/>
    <col min="2" max="2" width="10.5703125" style="111" customWidth="1"/>
    <col min="3" max="3" width="39.7109375" style="231" customWidth="1"/>
    <col min="4" max="4" width="46.42578125" style="235" customWidth="1"/>
    <col min="5" max="5" width="21.42578125" style="235" customWidth="1"/>
    <col min="6" max="6" width="22.28515625" customWidth="1"/>
    <col min="10" max="10" width="28.28515625" customWidth="1"/>
    <col min="11" max="11" width="22" customWidth="1"/>
    <col min="12" max="12" width="30" customWidth="1"/>
    <col min="13" max="13" width="38" customWidth="1"/>
    <col min="14" max="14" width="27" customWidth="1"/>
    <col min="15" max="15" width="15" customWidth="1"/>
    <col min="16" max="16" width="12" customWidth="1"/>
    <col min="17" max="17" width="15" customWidth="1"/>
  </cols>
  <sheetData>
    <row r="1" spans="1:17" ht="14.45" customHeight="1">
      <c r="A1" s="387" t="s">
        <v>659</v>
      </c>
      <c r="B1" s="387"/>
      <c r="C1" s="387"/>
      <c r="D1" s="387"/>
      <c r="E1" s="387"/>
      <c r="F1" s="387"/>
      <c r="G1" s="387"/>
      <c r="H1" s="387"/>
      <c r="I1" s="387"/>
      <c r="J1" s="387"/>
      <c r="K1" s="386" t="s">
        <v>660</v>
      </c>
      <c r="L1" s="386"/>
      <c r="M1" s="386"/>
      <c r="N1" s="386"/>
      <c r="O1" s="386"/>
      <c r="P1" s="386"/>
      <c r="Q1" s="386"/>
    </row>
    <row r="2" spans="1:17" s="15" customFormat="1" ht="42.75" customHeight="1">
      <c r="A2" s="122" t="s">
        <v>548</v>
      </c>
      <c r="B2" s="166" t="s">
        <v>0</v>
      </c>
      <c r="C2" s="166" t="s">
        <v>1</v>
      </c>
      <c r="D2" s="166" t="s">
        <v>661</v>
      </c>
      <c r="E2" s="166" t="s">
        <v>662</v>
      </c>
      <c r="F2" s="123" t="s">
        <v>549</v>
      </c>
      <c r="G2" s="123" t="s">
        <v>550</v>
      </c>
      <c r="H2" s="123" t="s">
        <v>551</v>
      </c>
      <c r="I2" s="123" t="s">
        <v>552</v>
      </c>
      <c r="J2" s="123" t="s">
        <v>602</v>
      </c>
      <c r="K2" s="298" t="s">
        <v>663</v>
      </c>
      <c r="L2" s="298" t="s">
        <v>664</v>
      </c>
      <c r="M2" s="298" t="s">
        <v>665</v>
      </c>
      <c r="N2" s="298" t="s">
        <v>666</v>
      </c>
      <c r="O2" s="298" t="s">
        <v>667</v>
      </c>
      <c r="P2" s="298" t="s">
        <v>668</v>
      </c>
      <c r="Q2" s="298" t="s">
        <v>669</v>
      </c>
    </row>
    <row r="3" spans="1:17" ht="30">
      <c r="A3" s="47" t="s">
        <v>553</v>
      </c>
      <c r="B3" s="47">
        <v>4.2</v>
      </c>
      <c r="C3" s="232" t="s">
        <v>670</v>
      </c>
      <c r="D3" s="250" t="s">
        <v>671</v>
      </c>
      <c r="E3" s="251" t="s">
        <v>672</v>
      </c>
      <c r="F3" s="63"/>
      <c r="G3" s="64"/>
      <c r="H3" s="64"/>
      <c r="I3" s="64"/>
      <c r="J3" s="175"/>
      <c r="K3" s="235" t="s">
        <v>672</v>
      </c>
      <c r="L3" s="235" t="s">
        <v>672</v>
      </c>
      <c r="M3" s="235" t="s">
        <v>673</v>
      </c>
      <c r="N3" s="235" t="s">
        <v>674</v>
      </c>
      <c r="O3" s="299">
        <v>0.154</v>
      </c>
      <c r="P3" s="235" t="str">
        <f>IF(ISBLANK(O3),"",IF(O3=0,"Baja",IF(OR(O3&gt;=10%,ISNUMBER(SEARCH("Política",N3))),"Alta","Media")))</f>
        <v>Alta</v>
      </c>
      <c r="Q3" s="235" t="s">
        <v>675</v>
      </c>
    </row>
    <row r="4" spans="1:17" ht="30">
      <c r="A4" s="336" t="s">
        <v>554</v>
      </c>
      <c r="B4" s="336" t="s">
        <v>146</v>
      </c>
      <c r="C4" s="231" t="s">
        <v>147</v>
      </c>
      <c r="D4" s="242" t="s">
        <v>676</v>
      </c>
      <c r="E4" s="252"/>
      <c r="F4" s="371"/>
      <c r="G4" s="372"/>
      <c r="H4" s="372"/>
      <c r="I4" s="372"/>
      <c r="J4" s="175"/>
      <c r="K4" s="235" t="s">
        <v>672</v>
      </c>
      <c r="L4" s="235" t="s">
        <v>672</v>
      </c>
      <c r="M4" s="235" t="s">
        <v>673</v>
      </c>
      <c r="N4" s="235" t="s">
        <v>677</v>
      </c>
      <c r="O4" s="299">
        <v>0.154</v>
      </c>
      <c r="P4" s="235" t="str">
        <f>IF(ISBLANK(O4),"",IF(O4=0,"Baja",IF(OR(O4&gt;=10%,ISNUMBER(SEARCH("Política",N4))),"Alta","Media")))</f>
        <v>Alta</v>
      </c>
      <c r="Q4" s="235" t="s">
        <v>675</v>
      </c>
    </row>
    <row r="5" spans="1:17" ht="30">
      <c r="A5" s="336"/>
      <c r="B5" s="336"/>
      <c r="C5" s="248" t="s">
        <v>113</v>
      </c>
      <c r="D5" s="76" t="s">
        <v>606</v>
      </c>
      <c r="E5" s="76"/>
      <c r="F5" s="67"/>
      <c r="G5" s="373"/>
      <c r="H5" s="374"/>
      <c r="I5" s="374"/>
      <c r="J5" s="175"/>
      <c r="K5" s="235" t="s">
        <v>672</v>
      </c>
      <c r="L5" s="235" t="s">
        <v>672</v>
      </c>
      <c r="M5" s="235" t="s">
        <v>673</v>
      </c>
      <c r="N5" s="235" t="s">
        <v>677</v>
      </c>
      <c r="O5" s="299"/>
      <c r="P5" s="235"/>
      <c r="Q5" s="235"/>
    </row>
    <row r="6" spans="1:17" ht="45">
      <c r="A6" s="336"/>
      <c r="B6" s="336"/>
      <c r="C6" s="231" t="s">
        <v>148</v>
      </c>
      <c r="D6" s="242" t="s">
        <v>678</v>
      </c>
      <c r="E6" s="253"/>
      <c r="F6" s="68"/>
      <c r="G6" s="375"/>
      <c r="H6" s="376"/>
      <c r="I6" s="376"/>
      <c r="J6" s="175"/>
      <c r="K6" s="235" t="s">
        <v>672</v>
      </c>
      <c r="L6" s="235" t="s">
        <v>672</v>
      </c>
      <c r="M6" s="235" t="s">
        <v>673</v>
      </c>
      <c r="N6" s="235" t="s">
        <v>677</v>
      </c>
      <c r="O6" s="299"/>
      <c r="P6" s="235"/>
      <c r="Q6" s="235"/>
    </row>
    <row r="7" spans="1:17" ht="45">
      <c r="A7" s="47" t="s">
        <v>553</v>
      </c>
      <c r="B7" s="47">
        <v>4.3</v>
      </c>
      <c r="C7" s="243" t="s">
        <v>679</v>
      </c>
      <c r="D7" s="241" t="s">
        <v>680</v>
      </c>
      <c r="E7" s="246" t="s">
        <v>681</v>
      </c>
      <c r="F7" s="346"/>
      <c r="G7" s="347"/>
      <c r="H7" s="347"/>
      <c r="I7" s="347"/>
      <c r="J7" s="175"/>
      <c r="K7" s="235" t="s">
        <v>672</v>
      </c>
      <c r="L7" s="235" t="s">
        <v>682</v>
      </c>
      <c r="M7" s="235" t="s">
        <v>683</v>
      </c>
      <c r="N7" s="235" t="s">
        <v>674</v>
      </c>
      <c r="O7" s="299">
        <v>0.26800000000000002</v>
      </c>
      <c r="P7" s="235" t="str">
        <f>IF(ISBLANK(O7),"",IF(O7=0,"Baja",IF(OR(O7&gt;=10%,ISNUMBER(SEARCH("Política",N7))),"Alta","Media")))</f>
        <v>Alta</v>
      </c>
      <c r="Q7" s="235" t="s">
        <v>675</v>
      </c>
    </row>
    <row r="8" spans="1:17" ht="54" customHeight="1">
      <c r="A8" s="336" t="s">
        <v>554</v>
      </c>
      <c r="B8" s="336" t="s">
        <v>150</v>
      </c>
      <c r="C8" s="238" t="s">
        <v>684</v>
      </c>
      <c r="D8" s="56" t="s">
        <v>685</v>
      </c>
      <c r="E8" s="56"/>
      <c r="F8" s="54"/>
      <c r="G8" s="53"/>
      <c r="H8" s="305"/>
      <c r="I8" s="306"/>
      <c r="J8" s="175"/>
      <c r="K8" s="235" t="s">
        <v>672</v>
      </c>
      <c r="L8" s="235" t="s">
        <v>682</v>
      </c>
      <c r="M8" s="235" t="s">
        <v>683</v>
      </c>
      <c r="N8" s="235" t="s">
        <v>686</v>
      </c>
      <c r="O8" s="299">
        <v>0.05</v>
      </c>
      <c r="P8" s="235" t="str">
        <f>IF(ISBLANK(O8),"",IF(O8=0,"Baja",IF(OR(O8&gt;=10%,ISNUMBER(SEARCH("Política",N8))),"Alta","Media")))</f>
        <v>Media</v>
      </c>
      <c r="Q8" s="235" t="s">
        <v>675</v>
      </c>
    </row>
    <row r="9" spans="1:17" ht="18" customHeight="1">
      <c r="A9" s="336"/>
      <c r="B9" s="336"/>
      <c r="C9" s="238" t="s">
        <v>687</v>
      </c>
      <c r="D9" s="56" t="s">
        <v>688</v>
      </c>
      <c r="E9" s="86"/>
      <c r="F9" s="351"/>
      <c r="G9" s="53"/>
      <c r="H9" s="308"/>
      <c r="I9" s="311"/>
      <c r="J9" s="175"/>
      <c r="K9" s="235" t="s">
        <v>672</v>
      </c>
      <c r="L9" s="235" t="s">
        <v>682</v>
      </c>
      <c r="M9" s="235" t="s">
        <v>683</v>
      </c>
      <c r="N9" s="235" t="s">
        <v>686</v>
      </c>
      <c r="O9" s="299"/>
      <c r="P9" s="235"/>
      <c r="Q9" s="235"/>
    </row>
    <row r="10" spans="1:17" ht="30" customHeight="1">
      <c r="A10" s="336"/>
      <c r="B10" s="336"/>
      <c r="C10" s="238" t="s">
        <v>689</v>
      </c>
      <c r="D10" s="76" t="s">
        <v>690</v>
      </c>
      <c r="E10" s="244"/>
      <c r="F10" s="360"/>
      <c r="G10" s="53"/>
      <c r="H10" s="309"/>
      <c r="I10" s="312"/>
      <c r="J10" s="175"/>
      <c r="K10" s="235" t="s">
        <v>672</v>
      </c>
      <c r="L10" s="235" t="s">
        <v>682</v>
      </c>
      <c r="M10" s="235" t="s">
        <v>683</v>
      </c>
      <c r="N10" s="235" t="s">
        <v>686</v>
      </c>
      <c r="O10" s="299"/>
      <c r="P10" s="235"/>
      <c r="Q10" s="235"/>
    </row>
    <row r="11" spans="1:17" ht="18.95" customHeight="1">
      <c r="A11" s="336"/>
      <c r="B11" s="336"/>
      <c r="C11" s="248" t="s">
        <v>691</v>
      </c>
      <c r="D11" s="56" t="s">
        <v>692</v>
      </c>
      <c r="E11" s="78"/>
      <c r="F11" s="360"/>
      <c r="G11" s="53"/>
      <c r="H11" s="309"/>
      <c r="I11" s="312"/>
      <c r="J11" s="175"/>
      <c r="K11" s="235" t="s">
        <v>672</v>
      </c>
      <c r="L11" s="235" t="s">
        <v>682</v>
      </c>
      <c r="M11" s="235" t="s">
        <v>683</v>
      </c>
      <c r="N11" s="235" t="s">
        <v>686</v>
      </c>
      <c r="O11" s="299"/>
      <c r="P11" s="235"/>
      <c r="Q11" s="235"/>
    </row>
    <row r="12" spans="1:17" ht="89.25" customHeight="1">
      <c r="A12" s="336" t="s">
        <v>554</v>
      </c>
      <c r="B12" s="336" t="s">
        <v>152</v>
      </c>
      <c r="C12" s="238" t="s">
        <v>693</v>
      </c>
      <c r="D12" s="56" t="s">
        <v>694</v>
      </c>
      <c r="E12" s="246" t="s">
        <v>695</v>
      </c>
      <c r="F12" s="54"/>
      <c r="G12" s="53"/>
      <c r="H12" s="305"/>
      <c r="I12" s="306"/>
      <c r="J12" s="175"/>
      <c r="K12" s="235" t="s">
        <v>672</v>
      </c>
      <c r="L12" s="235" t="s">
        <v>696</v>
      </c>
      <c r="M12" s="235" t="s">
        <v>697</v>
      </c>
      <c r="N12" s="235" t="s">
        <v>686</v>
      </c>
      <c r="O12" s="299">
        <v>0.05</v>
      </c>
      <c r="P12" s="235" t="str">
        <f>IF(ISBLANK(O12),"",IF(O12=0,"Baja",IF(OR(O12&gt;=10%,ISNUMBER(SEARCH("Política",N12))),"Alta","Media")))</f>
        <v>Media</v>
      </c>
      <c r="Q12" s="235" t="s">
        <v>675</v>
      </c>
    </row>
    <row r="13" spans="1:17" ht="18" customHeight="1">
      <c r="A13" s="336"/>
      <c r="B13" s="336"/>
      <c r="C13" s="238" t="s">
        <v>698</v>
      </c>
      <c r="D13" s="56" t="s">
        <v>699</v>
      </c>
      <c r="E13" s="86"/>
      <c r="F13" s="351"/>
      <c r="G13" s="53"/>
      <c r="H13" s="308"/>
      <c r="I13" s="311"/>
      <c r="J13" s="175"/>
      <c r="K13" s="235" t="s">
        <v>672</v>
      </c>
      <c r="L13" s="235" t="s">
        <v>696</v>
      </c>
      <c r="M13" s="235" t="s">
        <v>697</v>
      </c>
      <c r="N13" s="235" t="s">
        <v>686</v>
      </c>
      <c r="O13" s="299"/>
      <c r="P13" s="235"/>
      <c r="Q13" s="235"/>
    </row>
    <row r="14" spans="1:17" ht="21.6" customHeight="1">
      <c r="A14" s="336"/>
      <c r="B14" s="336"/>
      <c r="C14" s="238" t="s">
        <v>700</v>
      </c>
      <c r="D14" s="56" t="s">
        <v>701</v>
      </c>
      <c r="E14" s="78"/>
      <c r="F14" s="360"/>
      <c r="G14" s="53"/>
      <c r="H14" s="310"/>
      <c r="I14" s="313"/>
      <c r="J14" s="175"/>
      <c r="K14" s="235" t="s">
        <v>672</v>
      </c>
      <c r="L14" s="235" t="s">
        <v>696</v>
      </c>
      <c r="M14" s="235" t="s">
        <v>697</v>
      </c>
      <c r="N14" s="235" t="s">
        <v>686</v>
      </c>
      <c r="O14" s="299"/>
      <c r="P14" s="235"/>
      <c r="Q14" s="235"/>
    </row>
    <row r="15" spans="1:17" ht="112.5" customHeight="1">
      <c r="A15" s="336" t="s">
        <v>554</v>
      </c>
      <c r="B15" s="336" t="s">
        <v>154</v>
      </c>
      <c r="C15" s="238" t="s">
        <v>702</v>
      </c>
      <c r="D15" s="56" t="s">
        <v>703</v>
      </c>
      <c r="E15" s="246" t="s">
        <v>704</v>
      </c>
      <c r="F15" s="54"/>
      <c r="G15" s="53"/>
      <c r="H15" s="305"/>
      <c r="I15" s="306"/>
      <c r="J15" s="175"/>
      <c r="K15" s="235" t="s">
        <v>672</v>
      </c>
      <c r="L15" s="235" t="s">
        <v>696</v>
      </c>
      <c r="M15" s="235" t="s">
        <v>705</v>
      </c>
      <c r="N15" s="235" t="s">
        <v>686</v>
      </c>
      <c r="O15" s="299">
        <v>0.05</v>
      </c>
      <c r="P15" s="235" t="str">
        <f>IF(ISBLANK(O15),"",IF(O15=0,"Baja",IF(OR(O15&gt;=10%,ISNUMBER(SEARCH("Política",N15))),"Alta","Media")))</f>
        <v>Media</v>
      </c>
      <c r="Q15" s="235" t="s">
        <v>675</v>
      </c>
    </row>
    <row r="16" spans="1:17" ht="18" customHeight="1">
      <c r="A16" s="336"/>
      <c r="B16" s="336"/>
      <c r="C16" s="238" t="s">
        <v>706</v>
      </c>
      <c r="D16" s="56" t="s">
        <v>706</v>
      </c>
      <c r="E16" s="86"/>
      <c r="F16" s="351"/>
      <c r="G16" s="53"/>
      <c r="H16" s="308"/>
      <c r="I16" s="311"/>
      <c r="J16" s="175"/>
      <c r="K16" s="235" t="s">
        <v>672</v>
      </c>
      <c r="L16" s="235" t="s">
        <v>696</v>
      </c>
      <c r="M16" s="235" t="s">
        <v>705</v>
      </c>
      <c r="N16" s="235" t="s">
        <v>686</v>
      </c>
      <c r="O16" s="299"/>
      <c r="P16" s="235"/>
      <c r="Q16" s="235"/>
    </row>
    <row r="17" spans="1:17" ht="21.6" customHeight="1">
      <c r="A17" s="336"/>
      <c r="B17" s="336"/>
      <c r="C17" s="238" t="s">
        <v>707</v>
      </c>
      <c r="D17" s="56" t="s">
        <v>708</v>
      </c>
      <c r="E17" s="78"/>
      <c r="F17" s="360"/>
      <c r="G17" s="53"/>
      <c r="H17" s="310"/>
      <c r="I17" s="313"/>
      <c r="J17" s="175"/>
      <c r="K17" s="235" t="s">
        <v>672</v>
      </c>
      <c r="L17" s="235" t="s">
        <v>696</v>
      </c>
      <c r="M17" s="235" t="s">
        <v>705</v>
      </c>
      <c r="N17" s="235" t="s">
        <v>686</v>
      </c>
      <c r="O17" s="299"/>
      <c r="P17" s="235"/>
      <c r="Q17" s="235"/>
    </row>
    <row r="18" spans="1:17" ht="112.5" customHeight="1">
      <c r="A18" s="336" t="s">
        <v>554</v>
      </c>
      <c r="B18" s="336" t="s">
        <v>156</v>
      </c>
      <c r="C18" s="238" t="s">
        <v>709</v>
      </c>
      <c r="D18" s="169" t="s">
        <v>710</v>
      </c>
      <c r="E18" s="246" t="s">
        <v>704</v>
      </c>
      <c r="F18" s="54"/>
      <c r="G18" s="53"/>
      <c r="H18" s="305"/>
      <c r="I18" s="306"/>
      <c r="J18" s="175"/>
      <c r="K18" s="235" t="s">
        <v>672</v>
      </c>
      <c r="L18" s="235" t="s">
        <v>696</v>
      </c>
      <c r="M18" s="235" t="s">
        <v>705</v>
      </c>
      <c r="N18" s="235" t="s">
        <v>686</v>
      </c>
      <c r="O18" s="299">
        <v>0.05</v>
      </c>
      <c r="P18" s="235" t="str">
        <f>IF(ISBLANK(O18),"",IF(O18=0,"Baja",IF(OR(O18&gt;=10%,ISNUMBER(SEARCH("Política",N18))),"Alta","Media")))</f>
        <v>Media</v>
      </c>
      <c r="Q18" s="235" t="s">
        <v>675</v>
      </c>
    </row>
    <row r="19" spans="1:17" ht="18" customHeight="1">
      <c r="A19" s="336"/>
      <c r="B19" s="336"/>
      <c r="C19" s="238" t="s">
        <v>706</v>
      </c>
      <c r="D19" s="242" t="s">
        <v>706</v>
      </c>
      <c r="E19" s="254"/>
      <c r="F19" s="351"/>
      <c r="G19" s="53"/>
      <c r="H19" s="308"/>
      <c r="I19" s="311"/>
      <c r="J19" s="175"/>
      <c r="K19" s="235" t="s">
        <v>672</v>
      </c>
      <c r="L19" s="235" t="s">
        <v>696</v>
      </c>
      <c r="M19" s="235" t="s">
        <v>705</v>
      </c>
      <c r="N19" s="235" t="s">
        <v>686</v>
      </c>
      <c r="O19" s="299"/>
      <c r="P19" s="235"/>
      <c r="Q19" s="235"/>
    </row>
    <row r="20" spans="1:17" ht="21.6" customHeight="1">
      <c r="A20" s="336"/>
      <c r="B20" s="336"/>
      <c r="C20" s="238" t="s">
        <v>707</v>
      </c>
      <c r="D20" s="76" t="s">
        <v>708</v>
      </c>
      <c r="E20" s="244"/>
      <c r="F20" s="360"/>
      <c r="G20" s="53"/>
      <c r="H20" s="310"/>
      <c r="I20" s="313"/>
      <c r="J20" s="175"/>
      <c r="K20" s="235" t="s">
        <v>672</v>
      </c>
      <c r="L20" s="235" t="s">
        <v>696</v>
      </c>
      <c r="M20" s="235" t="s">
        <v>705</v>
      </c>
      <c r="N20" s="235" t="s">
        <v>686</v>
      </c>
      <c r="O20" s="299"/>
      <c r="P20" s="235"/>
      <c r="Q20" s="235"/>
    </row>
    <row r="21" spans="1:17" ht="82.5" customHeight="1">
      <c r="A21" s="50" t="s">
        <v>554</v>
      </c>
      <c r="B21" s="50" t="s">
        <v>158</v>
      </c>
      <c r="C21" s="249" t="s">
        <v>711</v>
      </c>
      <c r="D21" s="242" t="s">
        <v>712</v>
      </c>
      <c r="E21" s="242" t="s">
        <v>713</v>
      </c>
      <c r="F21" s="54"/>
      <c r="G21" s="53"/>
      <c r="H21" s="71"/>
      <c r="I21" s="170"/>
      <c r="J21" s="175"/>
      <c r="K21" s="235" t="s">
        <v>672</v>
      </c>
      <c r="L21" s="235" t="s">
        <v>714</v>
      </c>
      <c r="M21" s="235" t="s">
        <v>715</v>
      </c>
      <c r="N21" s="235" t="s">
        <v>716</v>
      </c>
      <c r="O21" s="299">
        <v>6.8000000000000005E-2</v>
      </c>
      <c r="P21" s="235" t="str">
        <f>IF(ISBLANK(O21),"",IF(O21=0,"Baja",IF(OR(O21&gt;=10%,ISNUMBER(SEARCH("Política",N21))),"Alta","Media")))</f>
        <v>Alta</v>
      </c>
      <c r="Q21" s="235" t="s">
        <v>675</v>
      </c>
    </row>
    <row r="22" spans="1:17" ht="30">
      <c r="A22" s="47" t="s">
        <v>553</v>
      </c>
      <c r="B22" s="47">
        <v>4.4000000000000004</v>
      </c>
      <c r="C22" s="232" t="s">
        <v>160</v>
      </c>
      <c r="D22" s="241" t="s">
        <v>717</v>
      </c>
      <c r="E22" s="246" t="s">
        <v>672</v>
      </c>
      <c r="F22" s="63"/>
      <c r="G22" s="64"/>
      <c r="H22" s="64"/>
      <c r="I22" s="64"/>
      <c r="J22" s="175"/>
      <c r="K22" s="235" t="s">
        <v>672</v>
      </c>
      <c r="L22" s="235" t="s">
        <v>672</v>
      </c>
      <c r="M22" s="235" t="s">
        <v>718</v>
      </c>
      <c r="N22" s="235" t="s">
        <v>674</v>
      </c>
      <c r="O22" s="299">
        <v>0.308</v>
      </c>
      <c r="P22" s="235" t="str">
        <f>IF(ISBLANK(O22),"",IF(O22=0,"Baja",IF(OR(O22&gt;=10%,ISNUMBER(SEARCH("Política",N22))),"Alta","Media")))</f>
        <v>Alta</v>
      </c>
      <c r="Q22" s="235" t="s">
        <v>675</v>
      </c>
    </row>
    <row r="23" spans="1:17" ht="30">
      <c r="A23" s="336" t="s">
        <v>554</v>
      </c>
      <c r="B23" s="336" t="s">
        <v>161</v>
      </c>
      <c r="C23" s="231" t="s">
        <v>160</v>
      </c>
      <c r="D23" s="242" t="s">
        <v>717</v>
      </c>
      <c r="E23" s="252"/>
      <c r="F23" s="371"/>
      <c r="G23" s="372"/>
      <c r="H23" s="372"/>
      <c r="I23" s="372"/>
      <c r="J23" s="175"/>
      <c r="K23" s="235" t="s">
        <v>672</v>
      </c>
      <c r="L23" s="235" t="s">
        <v>672</v>
      </c>
      <c r="M23" s="235" t="s">
        <v>718</v>
      </c>
      <c r="N23" s="235" t="s">
        <v>677</v>
      </c>
      <c r="O23" s="299">
        <v>0.308</v>
      </c>
      <c r="P23" s="235" t="str">
        <f>IF(ISBLANK(O23),"",IF(O23=0,"Baja",IF(OR(O23&gt;=10%,ISNUMBER(SEARCH("Política",N23))),"Alta","Media")))</f>
        <v>Alta</v>
      </c>
      <c r="Q23" s="235" t="s">
        <v>675</v>
      </c>
    </row>
    <row r="24" spans="1:17" ht="18" customHeight="1">
      <c r="A24" s="336"/>
      <c r="B24" s="336"/>
      <c r="C24" s="248" t="s">
        <v>330</v>
      </c>
      <c r="D24" s="242" t="s">
        <v>719</v>
      </c>
      <c r="E24" s="242"/>
      <c r="F24" s="67"/>
      <c r="G24" s="373"/>
      <c r="H24" s="374"/>
      <c r="I24" s="374"/>
      <c r="J24" s="175"/>
      <c r="K24" s="235" t="s">
        <v>672</v>
      </c>
      <c r="L24" s="235" t="s">
        <v>672</v>
      </c>
      <c r="M24" s="235" t="s">
        <v>718</v>
      </c>
      <c r="N24" s="235" t="s">
        <v>677</v>
      </c>
      <c r="O24" s="299"/>
      <c r="P24" s="235"/>
      <c r="Q24" s="235"/>
    </row>
    <row r="25" spans="1:17" ht="34.5" customHeight="1">
      <c r="A25" s="336"/>
      <c r="B25" s="336"/>
      <c r="C25" s="77" t="s">
        <v>163</v>
      </c>
      <c r="D25" s="242" t="s">
        <v>720</v>
      </c>
      <c r="E25" s="253"/>
      <c r="F25" s="68"/>
      <c r="G25" s="375"/>
      <c r="H25" s="376"/>
      <c r="I25" s="376"/>
      <c r="J25" s="175"/>
      <c r="K25" s="235" t="s">
        <v>672</v>
      </c>
      <c r="L25" s="235" t="s">
        <v>672</v>
      </c>
      <c r="M25" s="235" t="s">
        <v>718</v>
      </c>
      <c r="N25" s="235" t="s">
        <v>677</v>
      </c>
      <c r="O25" s="299"/>
      <c r="P25" s="235"/>
      <c r="Q25" s="235"/>
    </row>
  </sheetData>
  <mergeCells count="35">
    <mergeCell ref="F9:F11"/>
    <mergeCell ref="H9:H11"/>
    <mergeCell ref="I9:I11"/>
    <mergeCell ref="H16:H17"/>
    <mergeCell ref="I16:I17"/>
    <mergeCell ref="F23:I23"/>
    <mergeCell ref="A1:J1"/>
    <mergeCell ref="H12:I12"/>
    <mergeCell ref="F13:F14"/>
    <mergeCell ref="H13:H14"/>
    <mergeCell ref="I13:I14"/>
    <mergeCell ref="F4:I4"/>
    <mergeCell ref="G5:I6"/>
    <mergeCell ref="F7:I7"/>
    <mergeCell ref="H8:I8"/>
    <mergeCell ref="A4:A6"/>
    <mergeCell ref="B4:B6"/>
    <mergeCell ref="A8:A11"/>
    <mergeCell ref="B8:B11"/>
    <mergeCell ref="K1:Q1"/>
    <mergeCell ref="A23:A25"/>
    <mergeCell ref="B23:B25"/>
    <mergeCell ref="A12:A14"/>
    <mergeCell ref="B12:B14"/>
    <mergeCell ref="B15:B17"/>
    <mergeCell ref="A15:A17"/>
    <mergeCell ref="A18:A20"/>
    <mergeCell ref="B18:B20"/>
    <mergeCell ref="G24:I25"/>
    <mergeCell ref="H18:I18"/>
    <mergeCell ref="F19:F20"/>
    <mergeCell ref="H19:H20"/>
    <mergeCell ref="I19:I20"/>
    <mergeCell ref="H15:I15"/>
    <mergeCell ref="F16:F17"/>
  </mergeCells>
  <conditionalFormatting sqref="P3:P25">
    <cfRule type="expression" dxfId="34" priority="5">
      <formula>P3="Alta"</formula>
    </cfRule>
    <cfRule type="expression" dxfId="33" priority="6">
      <formula>P3="Media"</formula>
    </cfRule>
    <cfRule type="expression" dxfId="32" priority="7">
      <formula>P3="Baja"</formula>
    </cfRule>
  </conditionalFormatting>
  <conditionalFormatting sqref="Q3:Q25">
    <cfRule type="expression" dxfId="31" priority="1">
      <formula>Q3="Pendiente"</formula>
    </cfRule>
    <cfRule type="expression" dxfId="30" priority="2">
      <formula>Q3="En gestión"</formula>
    </cfRule>
    <cfRule type="expression" dxfId="29" priority="3">
      <formula>Q3="Por validar"</formula>
    </cfRule>
    <cfRule type="expression" dxfId="28" priority="4">
      <formula>Q3="Completo"</formula>
    </cfRule>
  </conditionalFormatting>
  <dataValidations count="1">
    <dataValidation type="list" sqref="Q3:Q25" xr:uid="{00000000-0002-0000-0500-000000000000}">
      <formula1>"Pendiente,En gestión,Por validar,Completo"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5"/>
  <sheetViews>
    <sheetView workbookViewId="0"/>
  </sheetViews>
  <sheetFormatPr defaultColWidth="8.85546875" defaultRowHeight="15"/>
  <cols>
    <col min="2" max="2" width="23.85546875" style="111" customWidth="1"/>
    <col min="3" max="3" width="42.7109375" style="235" customWidth="1"/>
    <col min="4" max="4" width="45.5703125" style="235" customWidth="1"/>
    <col min="5" max="5" width="26.7109375" style="236" customWidth="1"/>
    <col min="6" max="6" width="20.42578125" customWidth="1"/>
    <col min="10" max="10" width="31.7109375" customWidth="1"/>
    <col min="11" max="11" width="22" customWidth="1"/>
    <col min="12" max="12" width="30" customWidth="1"/>
    <col min="13" max="13" width="38" customWidth="1"/>
    <col min="14" max="14" width="27" customWidth="1"/>
    <col min="15" max="15" width="15" customWidth="1"/>
    <col min="16" max="16" width="12" customWidth="1"/>
    <col min="17" max="17" width="15" customWidth="1"/>
  </cols>
  <sheetData>
    <row r="1" spans="1:17" ht="14.45" customHeight="1">
      <c r="A1" s="388" t="s">
        <v>721</v>
      </c>
      <c r="B1" s="388"/>
      <c r="C1" s="388"/>
      <c r="D1" s="388"/>
      <c r="E1" s="388"/>
      <c r="F1" s="388"/>
      <c r="G1" s="388"/>
      <c r="H1" s="388"/>
      <c r="I1" s="388"/>
      <c r="J1" s="389"/>
      <c r="K1" s="386" t="s">
        <v>660</v>
      </c>
      <c r="L1" s="386"/>
      <c r="M1" s="386"/>
      <c r="N1" s="386"/>
      <c r="O1" s="386"/>
      <c r="P1" s="386"/>
      <c r="Q1" s="386"/>
    </row>
    <row r="2" spans="1:17" s="15" customFormat="1" ht="37.5" customHeight="1">
      <c r="A2" s="126" t="s">
        <v>548</v>
      </c>
      <c r="B2" s="167" t="s">
        <v>0</v>
      </c>
      <c r="C2" s="167" t="s">
        <v>1</v>
      </c>
      <c r="D2" s="294" t="s">
        <v>722</v>
      </c>
      <c r="E2" s="167" t="s">
        <v>662</v>
      </c>
      <c r="F2" s="125" t="s">
        <v>549</v>
      </c>
      <c r="G2" s="125" t="s">
        <v>550</v>
      </c>
      <c r="H2" s="125" t="s">
        <v>551</v>
      </c>
      <c r="I2" s="125" t="s">
        <v>552</v>
      </c>
      <c r="J2" s="274" t="s">
        <v>602</v>
      </c>
      <c r="K2" s="298" t="s">
        <v>663</v>
      </c>
      <c r="L2" s="298" t="s">
        <v>664</v>
      </c>
      <c r="M2" s="298" t="s">
        <v>665</v>
      </c>
      <c r="N2" s="298" t="s">
        <v>666</v>
      </c>
      <c r="O2" s="298" t="s">
        <v>667</v>
      </c>
      <c r="P2" s="298" t="s">
        <v>668</v>
      </c>
      <c r="Q2" s="298" t="s">
        <v>669</v>
      </c>
    </row>
    <row r="3" spans="1:17" ht="15" customHeight="1">
      <c r="A3" s="47" t="s">
        <v>553</v>
      </c>
      <c r="B3" s="47">
        <v>5.2</v>
      </c>
      <c r="C3" s="245" t="s">
        <v>723</v>
      </c>
      <c r="D3" s="250" t="s">
        <v>724</v>
      </c>
      <c r="E3" s="259" t="s">
        <v>672</v>
      </c>
      <c r="F3" s="63"/>
      <c r="G3" s="64"/>
      <c r="H3" s="64"/>
      <c r="I3" s="64"/>
      <c r="J3" s="49"/>
      <c r="K3" s="235" t="s">
        <v>672</v>
      </c>
      <c r="L3" s="235" t="s">
        <v>672</v>
      </c>
      <c r="M3" s="235" t="s">
        <v>718</v>
      </c>
      <c r="N3" s="235" t="s">
        <v>674</v>
      </c>
      <c r="O3" s="299">
        <v>0.154</v>
      </c>
      <c r="P3" s="235" t="str">
        <f>IF(ISBLANK(O3),"",IF(O3=0,"Baja",IF(OR(O3&gt;=10%,ISNUMBER(SEARCH("Política",N3))),"Alta","Media")))</f>
        <v>Alta</v>
      </c>
      <c r="Q3" s="235" t="s">
        <v>675</v>
      </c>
    </row>
    <row r="4" spans="1:17" ht="30">
      <c r="A4" s="332" t="s">
        <v>554</v>
      </c>
      <c r="B4" s="50" t="s">
        <v>166</v>
      </c>
      <c r="C4" s="235" t="s">
        <v>725</v>
      </c>
      <c r="D4" s="242" t="s">
        <v>726</v>
      </c>
      <c r="E4"/>
      <c r="F4" s="371"/>
      <c r="G4" s="372"/>
      <c r="H4" s="372"/>
      <c r="I4" s="372"/>
      <c r="J4" s="49"/>
      <c r="K4" s="235" t="s">
        <v>672</v>
      </c>
      <c r="L4" s="235" t="s">
        <v>672</v>
      </c>
      <c r="M4" s="235" t="s">
        <v>718</v>
      </c>
      <c r="N4" s="235" t="s">
        <v>677</v>
      </c>
      <c r="O4" s="299">
        <v>0.154</v>
      </c>
      <c r="P4" s="235" t="str">
        <f>IF(ISBLANK(O4),"",IF(O4=0,"Baja",IF(OR(O4&gt;=10%,ISNUMBER(SEARCH("Política",N4))),"Alta","Media")))</f>
        <v>Alta</v>
      </c>
      <c r="Q4" s="235" t="s">
        <v>675</v>
      </c>
    </row>
    <row r="5" spans="1:17" ht="30">
      <c r="A5" s="332"/>
      <c r="B5" s="50"/>
      <c r="C5" s="248" t="s">
        <v>168</v>
      </c>
      <c r="D5" s="76" t="s">
        <v>727</v>
      </c>
      <c r="E5" s="260"/>
      <c r="F5" s="67"/>
      <c r="G5" s="373"/>
      <c r="H5" s="374"/>
      <c r="I5" s="374"/>
      <c r="J5" s="49"/>
      <c r="K5" s="235" t="s">
        <v>672</v>
      </c>
      <c r="L5" s="235" t="s">
        <v>672</v>
      </c>
      <c r="M5" s="235" t="s">
        <v>718</v>
      </c>
      <c r="N5" s="235" t="s">
        <v>677</v>
      </c>
      <c r="O5" s="299"/>
      <c r="P5" s="235"/>
      <c r="Q5" s="235"/>
    </row>
    <row r="6" spans="1:17" ht="15" customHeight="1">
      <c r="A6" s="332"/>
      <c r="B6" s="50"/>
      <c r="C6" s="252" t="s">
        <v>169</v>
      </c>
      <c r="D6" s="242" t="s">
        <v>728</v>
      </c>
      <c r="E6" s="261"/>
      <c r="F6" s="68"/>
      <c r="G6" s="375"/>
      <c r="H6" s="376"/>
      <c r="I6" s="376"/>
      <c r="J6" s="49"/>
      <c r="K6" s="235" t="s">
        <v>672</v>
      </c>
      <c r="L6" s="235" t="s">
        <v>672</v>
      </c>
      <c r="M6" s="235" t="s">
        <v>718</v>
      </c>
      <c r="N6" s="235" t="s">
        <v>677</v>
      </c>
      <c r="O6" s="299"/>
      <c r="P6" s="235"/>
      <c r="Q6" s="235"/>
    </row>
    <row r="7" spans="1:17" ht="30">
      <c r="A7" s="47" t="s">
        <v>553</v>
      </c>
      <c r="B7" s="47">
        <v>5.3</v>
      </c>
      <c r="C7" s="234" t="s">
        <v>170</v>
      </c>
      <c r="D7" s="241" t="s">
        <v>729</v>
      </c>
      <c r="E7" s="258" t="s">
        <v>672</v>
      </c>
      <c r="F7" s="346"/>
      <c r="G7" s="347"/>
      <c r="H7" s="347"/>
      <c r="I7" s="347"/>
      <c r="J7" s="49"/>
      <c r="K7" s="235" t="s">
        <v>672</v>
      </c>
      <c r="L7" s="235" t="s">
        <v>672</v>
      </c>
      <c r="M7" s="235" t="s">
        <v>730</v>
      </c>
      <c r="N7" s="235" t="s">
        <v>674</v>
      </c>
      <c r="O7" s="299">
        <v>0.154</v>
      </c>
      <c r="P7" s="235" t="str">
        <f>IF(ISBLANK(O7),"",IF(O7=0,"Baja",IF(OR(O7&gt;=10%,ISNUMBER(SEARCH("Política",N7))),"Alta","Media")))</f>
        <v>Alta</v>
      </c>
      <c r="Q7" s="235" t="s">
        <v>675</v>
      </c>
    </row>
    <row r="8" spans="1:17" ht="54" customHeight="1">
      <c r="A8" s="50" t="s">
        <v>554</v>
      </c>
      <c r="B8" s="50" t="s">
        <v>171</v>
      </c>
      <c r="C8" s="238" t="s">
        <v>731</v>
      </c>
      <c r="D8" s="56" t="s">
        <v>732</v>
      </c>
      <c r="E8" s="262"/>
      <c r="F8" s="54"/>
      <c r="G8" s="53"/>
      <c r="H8" s="71"/>
      <c r="I8" s="170"/>
      <c r="J8" s="49"/>
      <c r="K8" s="235" t="s">
        <v>672</v>
      </c>
      <c r="L8" s="235" t="s">
        <v>672</v>
      </c>
      <c r="M8" s="235" t="s">
        <v>730</v>
      </c>
      <c r="N8" s="235" t="s">
        <v>686</v>
      </c>
      <c r="O8" s="299">
        <v>1.6E-2</v>
      </c>
      <c r="P8" s="235" t="str">
        <f>IF(ISBLANK(O8),"",IF(O8=0,"Baja",IF(OR(O8&gt;=10%,ISNUMBER(SEARCH("Política",N8))),"Alta","Media")))</f>
        <v>Media</v>
      </c>
      <c r="Q8" s="235" t="s">
        <v>675</v>
      </c>
    </row>
    <row r="9" spans="1:17" ht="81.75" customHeight="1">
      <c r="A9" s="50" t="s">
        <v>554</v>
      </c>
      <c r="B9" s="50" t="s">
        <v>173</v>
      </c>
      <c r="C9" s="238" t="s">
        <v>733</v>
      </c>
      <c r="D9" s="56" t="s">
        <v>734</v>
      </c>
      <c r="E9" s="262" t="s">
        <v>735</v>
      </c>
      <c r="F9" s="54"/>
      <c r="G9" s="53"/>
      <c r="H9" s="71"/>
      <c r="I9" s="170"/>
      <c r="J9" s="49"/>
      <c r="K9" s="235" t="s">
        <v>672</v>
      </c>
      <c r="L9" s="235" t="s">
        <v>672</v>
      </c>
      <c r="M9" s="235" t="s">
        <v>714</v>
      </c>
      <c r="N9" s="235" t="s">
        <v>716</v>
      </c>
      <c r="O9" s="299">
        <v>4.5999999999999999E-2</v>
      </c>
      <c r="P9" s="235" t="str">
        <f>IF(ISBLANK(O9),"",IF(O9=0,"Baja",IF(OR(O9&gt;=10%,ISNUMBER(SEARCH("Política",N9))),"Alta","Media")))</f>
        <v>Alta</v>
      </c>
      <c r="Q9" s="235" t="s">
        <v>675</v>
      </c>
    </row>
    <row r="10" spans="1:17" ht="111.75" customHeight="1">
      <c r="A10" s="332" t="s">
        <v>554</v>
      </c>
      <c r="B10" s="336" t="s">
        <v>175</v>
      </c>
      <c r="C10" s="238" t="s">
        <v>736</v>
      </c>
      <c r="D10" s="56" t="s">
        <v>737</v>
      </c>
      <c r="E10" s="262" t="s">
        <v>738</v>
      </c>
      <c r="F10" s="54"/>
      <c r="G10" s="53"/>
      <c r="H10" s="305"/>
      <c r="I10" s="306"/>
      <c r="J10" s="49"/>
      <c r="K10" s="235" t="s">
        <v>672</v>
      </c>
      <c r="L10" s="235" t="s">
        <v>672</v>
      </c>
      <c r="M10" s="235" t="s">
        <v>739</v>
      </c>
      <c r="N10" s="235" t="s">
        <v>686</v>
      </c>
      <c r="O10" s="299">
        <v>4.5999999999999999E-2</v>
      </c>
      <c r="P10" s="235" t="str">
        <f>IF(ISBLANK(O10),"",IF(O10=0,"Baja",IF(OR(O10&gt;=10%,ISNUMBER(SEARCH("Política",N10))),"Alta","Media")))</f>
        <v>Media</v>
      </c>
      <c r="Q10" s="235" t="s">
        <v>675</v>
      </c>
    </row>
    <row r="11" spans="1:17" ht="18.95" customHeight="1">
      <c r="A11" s="332"/>
      <c r="B11" s="336"/>
      <c r="C11" s="238" t="s">
        <v>740</v>
      </c>
      <c r="D11" s="56" t="s">
        <v>741</v>
      </c>
      <c r="E11" s="263"/>
      <c r="F11" s="351"/>
      <c r="G11" s="53"/>
      <c r="H11" s="308"/>
      <c r="I11" s="311"/>
      <c r="J11" s="49"/>
      <c r="K11" s="235" t="s">
        <v>672</v>
      </c>
      <c r="L11" s="235" t="s">
        <v>672</v>
      </c>
      <c r="M11" s="235" t="s">
        <v>739</v>
      </c>
      <c r="N11" s="235" t="s">
        <v>686</v>
      </c>
      <c r="O11" s="299"/>
      <c r="P11" s="235"/>
      <c r="Q11" s="235"/>
    </row>
    <row r="12" spans="1:17" ht="18" customHeight="1">
      <c r="A12" s="332"/>
      <c r="B12" s="336"/>
      <c r="C12" s="238" t="s">
        <v>742</v>
      </c>
      <c r="D12" s="56" t="s">
        <v>743</v>
      </c>
      <c r="E12" s="264"/>
      <c r="F12" s="360"/>
      <c r="G12" s="53"/>
      <c r="H12" s="309"/>
      <c r="I12" s="312"/>
      <c r="J12" s="49"/>
      <c r="K12" s="235" t="s">
        <v>672</v>
      </c>
      <c r="L12" s="235" t="s">
        <v>672</v>
      </c>
      <c r="M12" s="235" t="s">
        <v>739</v>
      </c>
      <c r="N12" s="235" t="s">
        <v>686</v>
      </c>
      <c r="O12" s="299"/>
      <c r="P12" s="235"/>
      <c r="Q12" s="235"/>
    </row>
    <row r="13" spans="1:17" ht="21.6" customHeight="1">
      <c r="A13" s="332"/>
      <c r="B13" s="336"/>
      <c r="C13" s="238" t="s">
        <v>744</v>
      </c>
      <c r="D13" s="56" t="s">
        <v>745</v>
      </c>
      <c r="E13" s="265"/>
      <c r="F13" s="352"/>
      <c r="G13" s="53"/>
      <c r="H13" s="310"/>
      <c r="I13" s="313"/>
      <c r="J13" s="49"/>
      <c r="K13" s="235" t="s">
        <v>672</v>
      </c>
      <c r="L13" s="235" t="s">
        <v>672</v>
      </c>
      <c r="M13" s="235" t="s">
        <v>739</v>
      </c>
      <c r="N13" s="235" t="s">
        <v>686</v>
      </c>
      <c r="O13" s="299"/>
      <c r="P13" s="235"/>
      <c r="Q13" s="235"/>
    </row>
    <row r="14" spans="1:17" ht="141" customHeight="1">
      <c r="A14" s="332" t="s">
        <v>554</v>
      </c>
      <c r="B14" s="336" t="s">
        <v>177</v>
      </c>
      <c r="C14" s="238" t="s">
        <v>746</v>
      </c>
      <c r="D14" s="267" t="s">
        <v>747</v>
      </c>
      <c r="E14" s="262" t="s">
        <v>748</v>
      </c>
      <c r="F14" s="54"/>
      <c r="G14" s="53"/>
      <c r="H14" s="305"/>
      <c r="I14" s="306"/>
      <c r="J14" s="49"/>
      <c r="K14" s="235" t="s">
        <v>672</v>
      </c>
      <c r="L14" s="235" t="s">
        <v>672</v>
      </c>
      <c r="M14" s="235" t="s">
        <v>749</v>
      </c>
      <c r="N14" s="235" t="s">
        <v>686</v>
      </c>
      <c r="O14" s="299">
        <v>4.5999999999999999E-2</v>
      </c>
      <c r="P14" s="235" t="str">
        <f>IF(ISBLANK(O14),"",IF(O14=0,"Baja",IF(OR(O14&gt;=10%,ISNUMBER(SEARCH("Política",N14))),"Alta","Media")))</f>
        <v>Media</v>
      </c>
      <c r="Q14" s="235" t="s">
        <v>675</v>
      </c>
    </row>
    <row r="15" spans="1:17" ht="18" customHeight="1">
      <c r="A15" s="332"/>
      <c r="B15" s="336"/>
      <c r="C15" s="238" t="s">
        <v>750</v>
      </c>
      <c r="D15" s="76" t="s">
        <v>751</v>
      </c>
      <c r="E15" s="263"/>
      <c r="F15" s="351"/>
      <c r="G15" s="53"/>
      <c r="H15" s="308"/>
      <c r="I15" s="311"/>
      <c r="J15" s="49"/>
      <c r="K15" s="235" t="s">
        <v>672</v>
      </c>
      <c r="L15" s="235" t="s">
        <v>672</v>
      </c>
      <c r="M15" s="235" t="s">
        <v>749</v>
      </c>
      <c r="N15" s="235" t="s">
        <v>686</v>
      </c>
      <c r="O15" s="299"/>
      <c r="P15" s="235"/>
      <c r="Q15" s="235"/>
    </row>
    <row r="16" spans="1:17" ht="48.75" customHeight="1">
      <c r="A16" s="332"/>
      <c r="B16" s="336"/>
      <c r="C16" s="238" t="s">
        <v>752</v>
      </c>
      <c r="D16" s="242" t="s">
        <v>753</v>
      </c>
      <c r="E16" s="264"/>
      <c r="F16" s="360"/>
      <c r="G16" s="53"/>
      <c r="H16" s="310"/>
      <c r="I16" s="313"/>
      <c r="J16" s="49"/>
      <c r="K16" s="235" t="s">
        <v>672</v>
      </c>
      <c r="L16" s="235" t="s">
        <v>672</v>
      </c>
      <c r="M16" s="235" t="s">
        <v>749</v>
      </c>
      <c r="N16" s="235" t="s">
        <v>686</v>
      </c>
      <c r="O16" s="299"/>
      <c r="P16" s="235"/>
      <c r="Q16" s="235"/>
    </row>
    <row r="17" spans="1:17" ht="30">
      <c r="A17" s="47" t="s">
        <v>553</v>
      </c>
      <c r="B17" s="47">
        <v>5.4</v>
      </c>
      <c r="C17" s="245" t="s">
        <v>179</v>
      </c>
      <c r="D17" s="250" t="s">
        <v>754</v>
      </c>
      <c r="E17" s="259" t="s">
        <v>672</v>
      </c>
      <c r="F17" s="63"/>
      <c r="G17" s="64"/>
      <c r="H17" s="64"/>
      <c r="I17" s="64"/>
      <c r="J17" s="49"/>
      <c r="K17" s="235" t="s">
        <v>672</v>
      </c>
      <c r="L17" s="235" t="s">
        <v>672</v>
      </c>
      <c r="M17" s="235" t="s">
        <v>755</v>
      </c>
      <c r="N17" s="235" t="s">
        <v>674</v>
      </c>
      <c r="O17" s="299">
        <v>0.154</v>
      </c>
      <c r="P17" s="235" t="str">
        <f>IF(ISBLANK(O17),"",IF(O17=0,"Baja",IF(OR(O17&gt;=10%,ISNUMBER(SEARCH("Política",N17))),"Alta","Media")))</f>
        <v>Alta</v>
      </c>
      <c r="Q17" s="235" t="s">
        <v>675</v>
      </c>
    </row>
    <row r="18" spans="1:17" ht="30">
      <c r="A18" s="332" t="s">
        <v>554</v>
      </c>
      <c r="B18" s="336" t="s">
        <v>180</v>
      </c>
      <c r="C18" s="256" t="s">
        <v>179</v>
      </c>
      <c r="D18" s="56" t="s">
        <v>754</v>
      </c>
      <c r="E18" s="29"/>
      <c r="F18" s="371"/>
      <c r="G18" s="372"/>
      <c r="H18" s="372"/>
      <c r="I18" s="372"/>
      <c r="J18" s="49"/>
      <c r="K18" s="235" t="s">
        <v>672</v>
      </c>
      <c r="L18" s="235" t="s">
        <v>672</v>
      </c>
      <c r="M18" s="235" t="s">
        <v>755</v>
      </c>
      <c r="N18" s="235" t="s">
        <v>677</v>
      </c>
      <c r="O18" s="299">
        <v>0.154</v>
      </c>
      <c r="P18" s="235" t="str">
        <f>IF(ISBLANK(O18),"",IF(O18=0,"Baja",IF(OR(O18&gt;=10%,ISNUMBER(SEARCH("Política",N18))),"Alta","Media")))</f>
        <v>Alta</v>
      </c>
      <c r="Q18" s="235" t="s">
        <v>675</v>
      </c>
    </row>
    <row r="19" spans="1:17" ht="30">
      <c r="A19" s="332"/>
      <c r="B19" s="336"/>
      <c r="C19" s="248" t="s">
        <v>181</v>
      </c>
      <c r="D19" s="56" t="s">
        <v>756</v>
      </c>
      <c r="E19" s="260"/>
      <c r="F19" s="67"/>
      <c r="G19" s="373"/>
      <c r="H19" s="374"/>
      <c r="I19" s="374"/>
      <c r="J19" s="49"/>
      <c r="K19" s="235" t="s">
        <v>672</v>
      </c>
      <c r="L19" s="235" t="s">
        <v>672</v>
      </c>
      <c r="M19" s="235" t="s">
        <v>755</v>
      </c>
      <c r="N19" s="235" t="s">
        <v>677</v>
      </c>
      <c r="O19" s="299"/>
      <c r="P19" s="235"/>
      <c r="Q19" s="235"/>
    </row>
    <row r="20" spans="1:17" ht="30">
      <c r="A20" s="332"/>
      <c r="B20" s="336"/>
      <c r="C20" s="247" t="s">
        <v>182</v>
      </c>
      <c r="D20" s="56" t="s">
        <v>757</v>
      </c>
      <c r="E20" s="247"/>
      <c r="F20" s="68"/>
      <c r="G20" s="375"/>
      <c r="H20" s="376"/>
      <c r="I20" s="376"/>
      <c r="J20" s="49"/>
      <c r="K20" s="235" t="s">
        <v>672</v>
      </c>
      <c r="L20" s="235" t="s">
        <v>672</v>
      </c>
      <c r="M20" s="235" t="s">
        <v>755</v>
      </c>
      <c r="N20" s="235" t="s">
        <v>677</v>
      </c>
      <c r="O20" s="299"/>
      <c r="P20" s="235"/>
      <c r="Q20" s="235"/>
    </row>
    <row r="21" spans="1:17" ht="30">
      <c r="A21" s="47" t="s">
        <v>553</v>
      </c>
      <c r="B21" s="47">
        <v>5.5</v>
      </c>
      <c r="C21" s="245" t="s">
        <v>758</v>
      </c>
      <c r="D21" s="72" t="s">
        <v>759</v>
      </c>
      <c r="E21" s="259" t="s">
        <v>672</v>
      </c>
      <c r="F21" s="63"/>
      <c r="G21" s="64"/>
      <c r="H21" s="64"/>
      <c r="I21" s="64"/>
      <c r="J21" s="49"/>
      <c r="K21" s="235" t="s">
        <v>672</v>
      </c>
      <c r="L21" s="235" t="s">
        <v>672</v>
      </c>
      <c r="M21" s="235" t="s">
        <v>718</v>
      </c>
      <c r="N21" s="235" t="s">
        <v>674</v>
      </c>
      <c r="O21" s="299">
        <v>0.115</v>
      </c>
      <c r="P21" s="235" t="str">
        <f>IF(ISBLANK(O21),"",IF(O21=0,"Baja",IF(OR(O21&gt;=10%,ISNUMBER(SEARCH("Política",N21))),"Alta","Media")))</f>
        <v>Alta</v>
      </c>
      <c r="Q21" s="235" t="s">
        <v>675</v>
      </c>
    </row>
    <row r="22" spans="1:17" ht="30">
      <c r="A22" s="332" t="s">
        <v>554</v>
      </c>
      <c r="B22" s="336" t="s">
        <v>184</v>
      </c>
      <c r="C22" s="256" t="s">
        <v>185</v>
      </c>
      <c r="D22" s="56" t="s">
        <v>760</v>
      </c>
      <c r="E22" s="29"/>
      <c r="F22" s="371"/>
      <c r="G22" s="372"/>
      <c r="H22" s="372"/>
      <c r="I22" s="372"/>
      <c r="J22" s="49"/>
      <c r="K22" s="235" t="s">
        <v>672</v>
      </c>
      <c r="L22" s="235" t="s">
        <v>672</v>
      </c>
      <c r="M22" s="235" t="s">
        <v>718</v>
      </c>
      <c r="N22" s="235" t="s">
        <v>677</v>
      </c>
      <c r="O22" s="299">
        <v>0.115</v>
      </c>
      <c r="P22" s="235" t="str">
        <f>IF(ISBLANK(O22),"",IF(O22=0,"Baja",IF(OR(O22&gt;=10%,ISNUMBER(SEARCH("Política",N22))),"Alta","Media")))</f>
        <v>Alta</v>
      </c>
      <c r="Q22" s="235" t="s">
        <v>675</v>
      </c>
    </row>
    <row r="23" spans="1:17" ht="30">
      <c r="A23" s="332"/>
      <c r="B23" s="336"/>
      <c r="C23" s="29" t="s">
        <v>186</v>
      </c>
      <c r="D23" s="56" t="s">
        <v>761</v>
      </c>
      <c r="E23" s="29"/>
      <c r="F23" s="67"/>
      <c r="G23" s="373"/>
      <c r="H23" s="374"/>
      <c r="I23" s="374"/>
      <c r="J23" s="49"/>
      <c r="K23" s="235" t="s">
        <v>672</v>
      </c>
      <c r="L23" s="235" t="s">
        <v>672</v>
      </c>
      <c r="M23" s="235" t="s">
        <v>718</v>
      </c>
      <c r="N23" s="235" t="s">
        <v>677</v>
      </c>
      <c r="O23" s="299"/>
      <c r="P23" s="235"/>
      <c r="Q23" s="235"/>
    </row>
    <row r="24" spans="1:17" ht="30" customHeight="1">
      <c r="A24" s="332"/>
      <c r="B24" s="336"/>
      <c r="C24" s="29" t="s">
        <v>187</v>
      </c>
      <c r="D24" s="56" t="s">
        <v>762</v>
      </c>
      <c r="E24" s="29"/>
      <c r="F24" s="68"/>
      <c r="G24" s="390"/>
      <c r="H24" s="391"/>
      <c r="I24" s="391"/>
      <c r="J24" s="49"/>
      <c r="K24" s="235" t="s">
        <v>672</v>
      </c>
      <c r="L24" s="235" t="s">
        <v>672</v>
      </c>
      <c r="M24" s="235" t="s">
        <v>718</v>
      </c>
      <c r="N24" s="235" t="s">
        <v>677</v>
      </c>
      <c r="O24" s="299"/>
      <c r="P24" s="235"/>
      <c r="Q24" s="235"/>
    </row>
    <row r="25" spans="1:17" ht="30">
      <c r="A25" s="332"/>
      <c r="B25" s="336"/>
      <c r="C25" s="29" t="s">
        <v>188</v>
      </c>
      <c r="D25" s="56" t="s">
        <v>763</v>
      </c>
      <c r="E25" s="29"/>
      <c r="F25" s="67"/>
      <c r="G25" s="390"/>
      <c r="H25" s="391"/>
      <c r="I25" s="391"/>
      <c r="J25" s="49"/>
      <c r="K25" s="235" t="s">
        <v>672</v>
      </c>
      <c r="L25" s="235" t="s">
        <v>672</v>
      </c>
      <c r="M25" s="235" t="s">
        <v>718</v>
      </c>
      <c r="N25" s="235" t="s">
        <v>677</v>
      </c>
      <c r="O25" s="299"/>
      <c r="P25" s="235"/>
      <c r="Q25" s="235"/>
    </row>
    <row r="26" spans="1:17" ht="30">
      <c r="A26" s="332"/>
      <c r="B26" s="336"/>
      <c r="C26" s="29" t="s">
        <v>189</v>
      </c>
      <c r="D26" s="56" t="s">
        <v>764</v>
      </c>
      <c r="E26" s="29"/>
      <c r="F26" s="68"/>
      <c r="G26" s="390"/>
      <c r="H26" s="391"/>
      <c r="I26" s="391"/>
      <c r="J26" s="49"/>
      <c r="K26" s="235" t="s">
        <v>672</v>
      </c>
      <c r="L26" s="235" t="s">
        <v>672</v>
      </c>
      <c r="M26" s="235" t="s">
        <v>718</v>
      </c>
      <c r="N26" s="235" t="s">
        <v>677</v>
      </c>
      <c r="O26" s="299"/>
      <c r="P26" s="235"/>
      <c r="Q26" s="235"/>
    </row>
    <row r="27" spans="1:17" ht="15" customHeight="1">
      <c r="A27" s="332"/>
      <c r="B27" s="336"/>
      <c r="C27" s="29" t="s">
        <v>190</v>
      </c>
      <c r="D27" s="56" t="s">
        <v>765</v>
      </c>
      <c r="E27" s="29"/>
      <c r="F27" s="67"/>
      <c r="G27" s="390"/>
      <c r="H27" s="391"/>
      <c r="I27" s="391"/>
      <c r="J27" s="49"/>
      <c r="K27" s="235" t="s">
        <v>672</v>
      </c>
      <c r="L27" s="235" t="s">
        <v>672</v>
      </c>
      <c r="M27" s="235" t="s">
        <v>718</v>
      </c>
      <c r="N27" s="235" t="s">
        <v>677</v>
      </c>
      <c r="O27" s="299"/>
      <c r="P27" s="235"/>
      <c r="Q27" s="235"/>
    </row>
    <row r="28" spans="1:17" ht="30.75" customHeight="1">
      <c r="A28" s="332"/>
      <c r="B28" s="336"/>
      <c r="C28" s="29" t="s">
        <v>191</v>
      </c>
      <c r="D28" s="267" t="s">
        <v>766</v>
      </c>
      <c r="E28" s="29"/>
      <c r="F28" s="68"/>
      <c r="G28" s="390"/>
      <c r="H28" s="391"/>
      <c r="I28" s="391"/>
      <c r="J28" s="49"/>
      <c r="K28" s="235" t="s">
        <v>672</v>
      </c>
      <c r="L28" s="235" t="s">
        <v>672</v>
      </c>
      <c r="M28" s="235" t="s">
        <v>718</v>
      </c>
      <c r="N28" s="235" t="s">
        <v>677</v>
      </c>
      <c r="O28" s="299"/>
      <c r="P28" s="235"/>
      <c r="Q28" s="235"/>
    </row>
    <row r="29" spans="1:17" ht="30">
      <c r="A29" s="332"/>
      <c r="B29" s="336"/>
      <c r="C29" s="29" t="s">
        <v>192</v>
      </c>
      <c r="D29" s="56" t="s">
        <v>767</v>
      </c>
      <c r="E29" s="29"/>
      <c r="F29" s="67"/>
      <c r="G29" s="390"/>
      <c r="H29" s="391"/>
      <c r="I29" s="391"/>
      <c r="J29" s="49"/>
      <c r="K29" s="235" t="s">
        <v>672</v>
      </c>
      <c r="L29" s="235" t="s">
        <v>672</v>
      </c>
      <c r="M29" s="235" t="s">
        <v>718</v>
      </c>
      <c r="N29" s="235" t="s">
        <v>677</v>
      </c>
      <c r="O29" s="299"/>
      <c r="P29" s="235"/>
      <c r="Q29" s="235"/>
    </row>
    <row r="30" spans="1:17" ht="30">
      <c r="A30" s="332"/>
      <c r="B30" s="336"/>
      <c r="C30" s="29" t="s">
        <v>193</v>
      </c>
      <c r="D30" s="56" t="s">
        <v>768</v>
      </c>
      <c r="E30" s="29"/>
      <c r="F30" s="68"/>
      <c r="G30" s="390"/>
      <c r="H30" s="391"/>
      <c r="I30" s="391"/>
      <c r="J30" s="49"/>
      <c r="K30" s="235" t="s">
        <v>672</v>
      </c>
      <c r="L30" s="235" t="s">
        <v>672</v>
      </c>
      <c r="M30" s="235" t="s">
        <v>718</v>
      </c>
      <c r="N30" s="235" t="s">
        <v>677</v>
      </c>
      <c r="O30" s="299"/>
      <c r="P30" s="235"/>
      <c r="Q30" s="235"/>
    </row>
    <row r="31" spans="1:17" ht="15" customHeight="1">
      <c r="A31" s="332"/>
      <c r="B31" s="336"/>
      <c r="C31" s="29" t="s">
        <v>194</v>
      </c>
      <c r="D31" s="56" t="s">
        <v>769</v>
      </c>
      <c r="E31" s="29"/>
      <c r="F31" s="68"/>
      <c r="G31" s="390"/>
      <c r="H31" s="391"/>
      <c r="I31" s="391"/>
      <c r="J31" s="49"/>
      <c r="K31" s="235" t="s">
        <v>672</v>
      </c>
      <c r="L31" s="235" t="s">
        <v>672</v>
      </c>
      <c r="M31" s="235" t="s">
        <v>718</v>
      </c>
      <c r="N31" s="235" t="s">
        <v>677</v>
      </c>
      <c r="O31" s="299"/>
      <c r="P31" s="235"/>
      <c r="Q31" s="235"/>
    </row>
    <row r="32" spans="1:17" ht="30">
      <c r="A32" s="47" t="s">
        <v>553</v>
      </c>
      <c r="B32" s="47">
        <v>5.6</v>
      </c>
      <c r="C32" s="251" t="s">
        <v>195</v>
      </c>
      <c r="D32" s="72" t="s">
        <v>770</v>
      </c>
      <c r="E32" s="266"/>
      <c r="F32" s="63"/>
      <c r="G32" s="64"/>
      <c r="H32" s="64"/>
      <c r="I32" s="64"/>
      <c r="J32" s="49"/>
      <c r="K32" s="235" t="s">
        <v>672</v>
      </c>
      <c r="L32" s="235"/>
      <c r="M32" s="235"/>
      <c r="N32" s="235" t="s">
        <v>674</v>
      </c>
      <c r="O32" s="299">
        <v>0.153</v>
      </c>
      <c r="P32" s="235" t="str">
        <f>IF(ISBLANK(O32),"",IF(O32=0,"Baja",IF(OR(O32&gt;=10%,ISNUMBER(SEARCH("Política",N32))),"Alta","Media")))</f>
        <v>Alta</v>
      </c>
      <c r="Q32" s="235" t="s">
        <v>675</v>
      </c>
    </row>
    <row r="33" spans="1:17" ht="47.25" customHeight="1">
      <c r="A33" s="50" t="s">
        <v>554</v>
      </c>
      <c r="B33" s="50" t="s">
        <v>196</v>
      </c>
      <c r="C33" s="238" t="s">
        <v>771</v>
      </c>
      <c r="D33" s="56" t="s">
        <v>772</v>
      </c>
      <c r="E33" s="262" t="s">
        <v>773</v>
      </c>
      <c r="F33" s="54"/>
      <c r="G33" s="53"/>
      <c r="H33" s="71"/>
      <c r="I33" s="170"/>
      <c r="J33" s="49"/>
      <c r="K33" s="235" t="s">
        <v>672</v>
      </c>
      <c r="L33" s="235" t="s">
        <v>714</v>
      </c>
      <c r="M33" s="235" t="s">
        <v>755</v>
      </c>
      <c r="N33" s="235" t="s">
        <v>716</v>
      </c>
      <c r="O33" s="299">
        <v>1.95E-2</v>
      </c>
      <c r="P33" s="235" t="str">
        <f>IF(ISBLANK(O33),"",IF(O33=0,"Baja",IF(OR(O33&gt;=10%,ISNUMBER(SEARCH("Política",N33))),"Alta","Media")))</f>
        <v>Alta</v>
      </c>
      <c r="Q33" s="235" t="s">
        <v>675</v>
      </c>
    </row>
    <row r="34" spans="1:17" ht="61.5" customHeight="1">
      <c r="A34" s="50" t="s">
        <v>554</v>
      </c>
      <c r="B34" s="50" t="s">
        <v>198</v>
      </c>
      <c r="C34" s="238" t="s">
        <v>774</v>
      </c>
      <c r="D34" s="56" t="s">
        <v>775</v>
      </c>
      <c r="E34" s="262" t="s">
        <v>773</v>
      </c>
      <c r="F34" s="54"/>
      <c r="G34" s="53"/>
      <c r="H34" s="71"/>
      <c r="I34" s="170"/>
      <c r="J34" s="49"/>
      <c r="K34" s="235" t="s">
        <v>672</v>
      </c>
      <c r="L34" s="235" t="s">
        <v>714</v>
      </c>
      <c r="M34" s="235" t="s">
        <v>755</v>
      </c>
      <c r="N34" s="235" t="s">
        <v>716</v>
      </c>
      <c r="O34" s="299">
        <v>1.95E-2</v>
      </c>
      <c r="P34" s="235" t="str">
        <f>IF(ISBLANK(O34),"",IF(O34=0,"Baja",IF(OR(O34&gt;=10%,ISNUMBER(SEARCH("Política",N34))),"Alta","Media")))</f>
        <v>Alta</v>
      </c>
      <c r="Q34" s="235" t="s">
        <v>675</v>
      </c>
    </row>
    <row r="35" spans="1:17" ht="45" customHeight="1">
      <c r="A35" s="50" t="s">
        <v>554</v>
      </c>
      <c r="B35" s="50" t="s">
        <v>200</v>
      </c>
      <c r="C35" s="238" t="s">
        <v>776</v>
      </c>
      <c r="D35" s="56" t="s">
        <v>777</v>
      </c>
      <c r="E35" s="262" t="s">
        <v>773</v>
      </c>
      <c r="F35" s="54"/>
      <c r="G35" s="53"/>
      <c r="H35" s="71"/>
      <c r="I35" s="170"/>
      <c r="J35" s="49"/>
      <c r="K35" s="235" t="s">
        <v>672</v>
      </c>
      <c r="L35" s="235" t="s">
        <v>714</v>
      </c>
      <c r="M35" s="235" t="s">
        <v>755</v>
      </c>
      <c r="N35" s="235" t="s">
        <v>716</v>
      </c>
      <c r="O35" s="299">
        <v>9.4999999999999998E-3</v>
      </c>
      <c r="P35" s="235" t="str">
        <f>IF(ISBLANK(O35),"",IF(O35=0,"Baja",IF(OR(O35&gt;=10%,ISNUMBER(SEARCH("Política",N35))),"Alta","Media")))</f>
        <v>Alta</v>
      </c>
      <c r="Q35" s="235" t="s">
        <v>675</v>
      </c>
    </row>
    <row r="36" spans="1:17" ht="63" customHeight="1">
      <c r="A36" s="332" t="s">
        <v>554</v>
      </c>
      <c r="B36" s="336" t="s">
        <v>202</v>
      </c>
      <c r="C36" s="238" t="s">
        <v>778</v>
      </c>
      <c r="D36" s="56" t="s">
        <v>779</v>
      </c>
      <c r="E36" s="262" t="s">
        <v>780</v>
      </c>
      <c r="F36" s="54"/>
      <c r="G36" s="53"/>
      <c r="H36" s="305"/>
      <c r="I36" s="306"/>
      <c r="J36" s="49"/>
      <c r="K36" s="235" t="s">
        <v>672</v>
      </c>
      <c r="L36" s="235" t="s">
        <v>714</v>
      </c>
      <c r="M36" s="235" t="s">
        <v>781</v>
      </c>
      <c r="N36" s="235" t="s">
        <v>686</v>
      </c>
      <c r="O36" s="299">
        <v>1.9E-2</v>
      </c>
      <c r="P36" s="235" t="str">
        <f>IF(ISBLANK(O36),"",IF(O36=0,"Baja",IF(OR(O36&gt;=10%,ISNUMBER(SEARCH("Política",N36))),"Alta","Media")))</f>
        <v>Media</v>
      </c>
      <c r="Q36" s="235" t="s">
        <v>675</v>
      </c>
    </row>
    <row r="37" spans="1:17" ht="18" customHeight="1">
      <c r="A37" s="332"/>
      <c r="B37" s="336"/>
      <c r="C37" s="238" t="s">
        <v>782</v>
      </c>
      <c r="D37" s="242" t="s">
        <v>783</v>
      </c>
      <c r="E37" s="263"/>
      <c r="F37" s="351"/>
      <c r="G37" s="53"/>
      <c r="H37" s="308"/>
      <c r="I37" s="311"/>
      <c r="J37" s="49"/>
      <c r="K37" s="235" t="s">
        <v>672</v>
      </c>
      <c r="L37" s="235" t="s">
        <v>714</v>
      </c>
      <c r="M37" s="235" t="s">
        <v>781</v>
      </c>
      <c r="N37" s="235" t="s">
        <v>686</v>
      </c>
      <c r="O37" s="299"/>
      <c r="P37" s="235"/>
      <c r="Q37" s="235"/>
    </row>
    <row r="38" spans="1:17" ht="20.45" customHeight="1">
      <c r="A38" s="332"/>
      <c r="B38" s="336"/>
      <c r="C38" s="238" t="s">
        <v>784</v>
      </c>
      <c r="D38" s="242" t="s">
        <v>785</v>
      </c>
      <c r="E38" s="264"/>
      <c r="F38" s="360"/>
      <c r="G38" s="53"/>
      <c r="H38" s="310"/>
      <c r="I38" s="313"/>
      <c r="J38" s="49"/>
      <c r="K38" s="235" t="s">
        <v>672</v>
      </c>
      <c r="L38" s="235" t="s">
        <v>714</v>
      </c>
      <c r="M38" s="235" t="s">
        <v>781</v>
      </c>
      <c r="N38" s="235" t="s">
        <v>686</v>
      </c>
      <c r="O38" s="299"/>
      <c r="P38" s="235"/>
      <c r="Q38" s="235"/>
    </row>
    <row r="39" spans="1:17" ht="45" customHeight="1">
      <c r="A39" s="332" t="s">
        <v>554</v>
      </c>
      <c r="B39" s="336" t="s">
        <v>204</v>
      </c>
      <c r="C39" s="238" t="s">
        <v>786</v>
      </c>
      <c r="D39" s="242" t="s">
        <v>787</v>
      </c>
      <c r="E39" s="262" t="s">
        <v>780</v>
      </c>
      <c r="F39" s="54"/>
      <c r="G39" s="53"/>
      <c r="H39" s="305"/>
      <c r="I39" s="306"/>
      <c r="J39" s="49"/>
      <c r="K39" s="235" t="s">
        <v>672</v>
      </c>
      <c r="L39" s="235" t="s">
        <v>714</v>
      </c>
      <c r="M39" s="235" t="s">
        <v>781</v>
      </c>
      <c r="N39" s="235" t="s">
        <v>686</v>
      </c>
      <c r="O39" s="299">
        <v>1.9E-2</v>
      </c>
      <c r="P39" s="235" t="str">
        <f>IF(ISBLANK(O39),"",IF(O39=0,"Baja",IF(OR(O39&gt;=10%,ISNUMBER(SEARCH("Política",N39))),"Alta","Media")))</f>
        <v>Media</v>
      </c>
      <c r="Q39" s="235" t="s">
        <v>675</v>
      </c>
    </row>
    <row r="40" spans="1:17" ht="18.95" customHeight="1">
      <c r="A40" s="332"/>
      <c r="B40" s="336"/>
      <c r="C40" s="238" t="s">
        <v>782</v>
      </c>
      <c r="D40" s="242" t="s">
        <v>783</v>
      </c>
      <c r="E40" s="263"/>
      <c r="F40" s="351"/>
      <c r="G40" s="53"/>
      <c r="H40" s="308"/>
      <c r="I40" s="311"/>
      <c r="J40" s="49"/>
      <c r="K40" s="235" t="s">
        <v>672</v>
      </c>
      <c r="L40" s="235" t="s">
        <v>714</v>
      </c>
      <c r="M40" s="235" t="s">
        <v>781</v>
      </c>
      <c r="N40" s="235" t="s">
        <v>686</v>
      </c>
      <c r="O40" s="299"/>
      <c r="P40" s="235"/>
      <c r="Q40" s="235"/>
    </row>
    <row r="41" spans="1:17" ht="18" customHeight="1">
      <c r="A41" s="332"/>
      <c r="B41" s="336"/>
      <c r="C41" s="238" t="s">
        <v>784</v>
      </c>
      <c r="D41" s="242" t="s">
        <v>785</v>
      </c>
      <c r="E41" s="264"/>
      <c r="F41" s="360"/>
      <c r="G41" s="53"/>
      <c r="H41" s="309"/>
      <c r="I41" s="312"/>
      <c r="J41" s="49"/>
      <c r="K41" s="235" t="s">
        <v>672</v>
      </c>
      <c r="L41" s="235" t="s">
        <v>714</v>
      </c>
      <c r="M41" s="235" t="s">
        <v>781</v>
      </c>
      <c r="N41" s="235" t="s">
        <v>686</v>
      </c>
      <c r="O41" s="299"/>
      <c r="P41" s="235"/>
      <c r="Q41" s="235"/>
    </row>
    <row r="42" spans="1:17" ht="147" customHeight="1">
      <c r="A42" s="50" t="s">
        <v>554</v>
      </c>
      <c r="B42" s="50" t="s">
        <v>206</v>
      </c>
      <c r="C42" s="238" t="s">
        <v>788</v>
      </c>
      <c r="D42" s="242" t="s">
        <v>789</v>
      </c>
      <c r="E42" s="262" t="s">
        <v>790</v>
      </c>
      <c r="F42" s="54"/>
      <c r="G42" s="53"/>
      <c r="H42" s="71"/>
      <c r="I42" s="170"/>
      <c r="J42" s="49"/>
      <c r="K42" s="235" t="s">
        <v>672</v>
      </c>
      <c r="L42" s="235" t="s">
        <v>714</v>
      </c>
      <c r="M42" s="235" t="s">
        <v>791</v>
      </c>
      <c r="N42" s="235" t="s">
        <v>686</v>
      </c>
      <c r="O42" s="299">
        <v>1.9E-2</v>
      </c>
      <c r="P42" s="235" t="str">
        <f>IF(ISBLANK(O42),"",IF(O42=0,"Baja",IF(OR(O42&gt;=10%,ISNUMBER(SEARCH("Política",N42))),"Alta","Media")))</f>
        <v>Media</v>
      </c>
      <c r="Q42" s="235" t="s">
        <v>675</v>
      </c>
    </row>
    <row r="43" spans="1:17" ht="48" customHeight="1">
      <c r="A43" s="50" t="s">
        <v>554</v>
      </c>
      <c r="B43" s="50" t="s">
        <v>208</v>
      </c>
      <c r="C43" s="238" t="s">
        <v>792</v>
      </c>
      <c r="D43" s="242" t="s">
        <v>793</v>
      </c>
      <c r="E43" s="262" t="s">
        <v>672</v>
      </c>
      <c r="F43" s="54"/>
      <c r="G43" s="53"/>
      <c r="H43" s="71"/>
      <c r="I43" s="170"/>
      <c r="J43" s="49"/>
      <c r="K43" s="235" t="s">
        <v>672</v>
      </c>
      <c r="L43" s="235" t="s">
        <v>672</v>
      </c>
      <c r="M43" s="235" t="s">
        <v>718</v>
      </c>
      <c r="N43" s="235" t="s">
        <v>686</v>
      </c>
      <c r="O43" s="299">
        <v>1.9E-2</v>
      </c>
      <c r="P43" s="235" t="str">
        <f>IF(ISBLANK(O43),"",IF(O43=0,"Baja",IF(OR(O43&gt;=10%,ISNUMBER(SEARCH("Política",N43))),"Alta","Media")))</f>
        <v>Media</v>
      </c>
      <c r="Q43" s="235" t="s">
        <v>675</v>
      </c>
    </row>
    <row r="44" spans="1:17" ht="76.5" customHeight="1">
      <c r="A44" s="50" t="s">
        <v>554</v>
      </c>
      <c r="B44" s="50" t="s">
        <v>210</v>
      </c>
      <c r="C44" s="238" t="s">
        <v>794</v>
      </c>
      <c r="D44" s="242" t="s">
        <v>795</v>
      </c>
      <c r="E44" s="262" t="s">
        <v>780</v>
      </c>
      <c r="F44" s="54"/>
      <c r="G44" s="53"/>
      <c r="H44" s="71"/>
      <c r="I44" s="170"/>
      <c r="J44" s="49"/>
      <c r="K44" s="235" t="s">
        <v>672</v>
      </c>
      <c r="L44" s="235" t="s">
        <v>714</v>
      </c>
      <c r="M44" s="235" t="s">
        <v>781</v>
      </c>
      <c r="N44" s="235" t="s">
        <v>716</v>
      </c>
      <c r="O44" s="299">
        <v>1.9E-2</v>
      </c>
      <c r="P44" s="235" t="str">
        <f>IF(ISBLANK(O44),"",IF(O44=0,"Baja",IF(OR(O44&gt;=10%,ISNUMBER(SEARCH("Política",N44))),"Alta","Media")))</f>
        <v>Alta</v>
      </c>
      <c r="Q44" s="235" t="s">
        <v>675</v>
      </c>
    </row>
    <row r="45" spans="1:17" ht="81" customHeight="1">
      <c r="A45" s="50" t="s">
        <v>554</v>
      </c>
      <c r="B45" s="50" t="s">
        <v>212</v>
      </c>
      <c r="C45" s="238" t="s">
        <v>796</v>
      </c>
      <c r="D45" s="242" t="s">
        <v>797</v>
      </c>
      <c r="E45" s="262" t="s">
        <v>780</v>
      </c>
      <c r="F45" s="54"/>
      <c r="G45" s="53"/>
      <c r="H45" s="71"/>
      <c r="I45" s="170"/>
      <c r="J45" s="49"/>
      <c r="K45" s="235" t="s">
        <v>672</v>
      </c>
      <c r="L45" s="235" t="s">
        <v>714</v>
      </c>
      <c r="M45" s="235" t="s">
        <v>781</v>
      </c>
      <c r="N45" s="235" t="s">
        <v>716</v>
      </c>
      <c r="O45" s="299">
        <v>9.4999999999999998E-3</v>
      </c>
      <c r="P45" s="235" t="str">
        <f>IF(ISBLANK(O45),"",IF(O45=0,"Baja",IF(OR(O45&gt;=10%,ISNUMBER(SEARCH("Política",N45))),"Alta","Media")))</f>
        <v>Alta</v>
      </c>
      <c r="Q45" s="235" t="s">
        <v>675</v>
      </c>
    </row>
  </sheetData>
  <mergeCells count="38">
    <mergeCell ref="A1:J1"/>
    <mergeCell ref="F18:I18"/>
    <mergeCell ref="G19:I20"/>
    <mergeCell ref="F22:I22"/>
    <mergeCell ref="G23:I31"/>
    <mergeCell ref="H14:I14"/>
    <mergeCell ref="F15:F16"/>
    <mergeCell ref="H15:H16"/>
    <mergeCell ref="I15:I16"/>
    <mergeCell ref="B39:B41"/>
    <mergeCell ref="H36:I36"/>
    <mergeCell ref="F37:F38"/>
    <mergeCell ref="H37:H38"/>
    <mergeCell ref="I37:I38"/>
    <mergeCell ref="H39:I39"/>
    <mergeCell ref="I11:I13"/>
    <mergeCell ref="F4:I4"/>
    <mergeCell ref="G5:I6"/>
    <mergeCell ref="F7:I7"/>
    <mergeCell ref="H10:I10"/>
    <mergeCell ref="F11:F13"/>
    <mergeCell ref="H11:H13"/>
    <mergeCell ref="K1:Q1"/>
    <mergeCell ref="A39:A41"/>
    <mergeCell ref="A18:A20"/>
    <mergeCell ref="B18:B20"/>
    <mergeCell ref="B22:B31"/>
    <mergeCell ref="A22:A31"/>
    <mergeCell ref="A36:A38"/>
    <mergeCell ref="B36:B38"/>
    <mergeCell ref="F40:F41"/>
    <mergeCell ref="H40:H41"/>
    <mergeCell ref="I40:I41"/>
    <mergeCell ref="A4:A6"/>
    <mergeCell ref="A10:A13"/>
    <mergeCell ref="B10:B13"/>
    <mergeCell ref="A14:A16"/>
    <mergeCell ref="B14:B16"/>
  </mergeCells>
  <conditionalFormatting sqref="P3:P45">
    <cfRule type="expression" dxfId="27" priority="5">
      <formula>P3="Alta"</formula>
    </cfRule>
    <cfRule type="expression" dxfId="26" priority="6">
      <formula>P3="Media"</formula>
    </cfRule>
    <cfRule type="expression" dxfId="25" priority="7">
      <formula>P3="Baja"</formula>
    </cfRule>
  </conditionalFormatting>
  <conditionalFormatting sqref="Q3:Q45">
    <cfRule type="expression" dxfId="24" priority="1">
      <formula>Q3="Pendiente"</formula>
    </cfRule>
    <cfRule type="expression" dxfId="23" priority="2">
      <formula>Q3="En gestión"</formula>
    </cfRule>
    <cfRule type="expression" dxfId="22" priority="3">
      <formula>Q3="Por validar"</formula>
    </cfRule>
    <cfRule type="expression" dxfId="21" priority="4">
      <formula>Q3="Completo"</formula>
    </cfRule>
  </conditionalFormatting>
  <dataValidations count="1">
    <dataValidation type="list" sqref="Q3:Q45" xr:uid="{00000000-0002-0000-0600-000000000000}">
      <formula1>"Pendiente,En gestión,Por validar,Completo"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
  <sheetViews>
    <sheetView workbookViewId="0"/>
  </sheetViews>
  <sheetFormatPr defaultColWidth="8.85546875" defaultRowHeight="15"/>
  <cols>
    <col min="2" max="2" width="18.85546875" customWidth="1"/>
    <col min="3" max="3" width="83.85546875" customWidth="1"/>
    <col min="4" max="4" width="21.85546875" customWidth="1"/>
  </cols>
  <sheetData>
    <row r="1" spans="1:7" ht="14.45" customHeight="1">
      <c r="A1" s="392" t="s">
        <v>798</v>
      </c>
      <c r="B1" s="392"/>
      <c r="C1" s="392"/>
      <c r="D1" s="392"/>
      <c r="E1" s="392"/>
      <c r="F1" s="392"/>
      <c r="G1" s="392"/>
    </row>
    <row r="2" spans="1:7" ht="42.75" customHeight="1">
      <c r="A2" s="164" t="s">
        <v>548</v>
      </c>
      <c r="B2" s="165" t="s">
        <v>0</v>
      </c>
      <c r="C2" s="165" t="s">
        <v>1</v>
      </c>
      <c r="D2" s="127" t="s">
        <v>549</v>
      </c>
      <c r="E2" s="127" t="s">
        <v>550</v>
      </c>
      <c r="F2" s="127" t="s">
        <v>551</v>
      </c>
      <c r="G2" s="127" t="s">
        <v>552</v>
      </c>
    </row>
    <row r="3" spans="1:7">
      <c r="A3" s="47" t="s">
        <v>553</v>
      </c>
      <c r="B3" s="47">
        <v>6.2</v>
      </c>
      <c r="C3" s="62" t="s">
        <v>219</v>
      </c>
      <c r="D3" s="63"/>
      <c r="E3" s="64"/>
      <c r="F3" s="64"/>
      <c r="G3" s="64"/>
    </row>
    <row r="4" spans="1:7" ht="54" customHeight="1">
      <c r="A4" s="336" t="s">
        <v>554</v>
      </c>
      <c r="B4" s="336" t="s">
        <v>216</v>
      </c>
      <c r="C4" s="56" t="s">
        <v>799</v>
      </c>
      <c r="D4" s="54"/>
      <c r="E4" s="53"/>
      <c r="F4" s="71"/>
      <c r="G4" s="71"/>
    </row>
    <row r="5" spans="1:7" ht="14.45" customHeight="1">
      <c r="A5" s="336"/>
      <c r="B5" s="336"/>
      <c r="C5" s="169" t="s">
        <v>800</v>
      </c>
      <c r="D5" s="54"/>
      <c r="E5" s="355"/>
      <c r="F5" s="308"/>
      <c r="G5" s="308"/>
    </row>
    <row r="6" spans="1:7" ht="14.45" customHeight="1">
      <c r="A6" s="336"/>
      <c r="B6" s="336"/>
      <c r="C6" s="169" t="s">
        <v>801</v>
      </c>
      <c r="D6" s="54"/>
      <c r="E6" s="356"/>
      <c r="F6" s="310"/>
      <c r="G6" s="310"/>
    </row>
    <row r="7" spans="1:7">
      <c r="A7" s="336" t="s">
        <v>554</v>
      </c>
      <c r="B7" s="336" t="s">
        <v>218</v>
      </c>
      <c r="C7" s="56" t="s">
        <v>219</v>
      </c>
      <c r="D7" s="371"/>
      <c r="E7" s="372"/>
      <c r="F7" s="372"/>
      <c r="G7" s="372"/>
    </row>
    <row r="8" spans="1:7">
      <c r="A8" s="336"/>
      <c r="B8" s="336"/>
      <c r="C8" s="76" t="s">
        <v>220</v>
      </c>
      <c r="D8" s="67"/>
      <c r="E8" s="373"/>
      <c r="F8" s="374"/>
      <c r="G8" s="374"/>
    </row>
    <row r="9" spans="1:7">
      <c r="A9" s="336"/>
      <c r="B9" s="336"/>
      <c r="C9" s="77" t="s">
        <v>98</v>
      </c>
      <c r="D9" s="68"/>
      <c r="E9" s="375"/>
      <c r="F9" s="376"/>
      <c r="G9" s="376"/>
    </row>
    <row r="10" spans="1:7">
      <c r="A10" s="47" t="s">
        <v>553</v>
      </c>
      <c r="B10" s="47">
        <v>6.3</v>
      </c>
      <c r="C10" s="62" t="s">
        <v>221</v>
      </c>
      <c r="D10" s="63"/>
      <c r="E10" s="64"/>
      <c r="F10" s="64"/>
      <c r="G10" s="64"/>
    </row>
    <row r="11" spans="1:7" ht="38.1" customHeight="1">
      <c r="A11" s="50" t="s">
        <v>554</v>
      </c>
      <c r="B11" s="50" t="s">
        <v>222</v>
      </c>
      <c r="C11" s="56" t="s">
        <v>802</v>
      </c>
      <c r="D11" s="54"/>
      <c r="E11" s="53"/>
      <c r="F11" s="71"/>
      <c r="G11" s="71"/>
    </row>
    <row r="12" spans="1:7" ht="48" customHeight="1">
      <c r="A12" s="50" t="s">
        <v>554</v>
      </c>
      <c r="B12" s="50" t="s">
        <v>224</v>
      </c>
      <c r="C12" s="56" t="s">
        <v>803</v>
      </c>
      <c r="D12" s="54"/>
      <c r="E12" s="53"/>
      <c r="F12" s="71"/>
      <c r="G12" s="71"/>
    </row>
    <row r="13" spans="1:7" ht="45" customHeight="1">
      <c r="A13" s="50" t="s">
        <v>554</v>
      </c>
      <c r="B13" s="50" t="s">
        <v>226</v>
      </c>
      <c r="C13" s="56" t="s">
        <v>804</v>
      </c>
      <c r="D13" s="54"/>
      <c r="E13" s="53"/>
      <c r="F13" s="71"/>
      <c r="G13" s="71"/>
    </row>
    <row r="14" spans="1:7" ht="48" customHeight="1">
      <c r="A14" s="50" t="s">
        <v>554</v>
      </c>
      <c r="B14" s="50" t="s">
        <v>228</v>
      </c>
      <c r="C14" s="56" t="s">
        <v>805</v>
      </c>
      <c r="D14" s="54"/>
      <c r="E14" s="53"/>
      <c r="F14" s="71"/>
      <c r="G14" s="71"/>
    </row>
    <row r="15" spans="1:7" ht="45" customHeight="1">
      <c r="A15" s="50" t="s">
        <v>554</v>
      </c>
      <c r="B15" s="50" t="s">
        <v>230</v>
      </c>
      <c r="C15" s="56" t="s">
        <v>806</v>
      </c>
      <c r="D15" s="54"/>
      <c r="E15" s="53"/>
      <c r="F15" s="71"/>
      <c r="G15" s="71"/>
    </row>
    <row r="16" spans="1:7">
      <c r="A16" s="47" t="s">
        <v>553</v>
      </c>
      <c r="B16" s="47">
        <v>6.4</v>
      </c>
      <c r="C16" s="62" t="s">
        <v>807</v>
      </c>
      <c r="D16" s="63"/>
      <c r="E16" s="64"/>
      <c r="F16" s="64"/>
      <c r="G16" s="64"/>
    </row>
    <row r="17" spans="1:7" ht="38.1" customHeight="1">
      <c r="A17" s="50" t="s">
        <v>554</v>
      </c>
      <c r="B17" s="50" t="s">
        <v>233</v>
      </c>
      <c r="C17" s="56" t="s">
        <v>808</v>
      </c>
      <c r="D17" s="54"/>
      <c r="E17" s="53"/>
      <c r="F17" s="71"/>
      <c r="G17" s="71"/>
    </row>
    <row r="18" spans="1:7" ht="48" customHeight="1">
      <c r="A18" s="50" t="s">
        <v>554</v>
      </c>
      <c r="B18" s="50" t="s">
        <v>235</v>
      </c>
      <c r="C18" s="56" t="s">
        <v>809</v>
      </c>
      <c r="D18" s="54"/>
      <c r="E18" s="53"/>
      <c r="F18" s="71"/>
      <c r="G18" s="71"/>
    </row>
    <row r="19" spans="1:7">
      <c r="A19" s="47" t="s">
        <v>553</v>
      </c>
      <c r="B19" s="47">
        <v>6.5</v>
      </c>
      <c r="C19" s="62" t="s">
        <v>237</v>
      </c>
      <c r="D19" s="63"/>
      <c r="E19" s="64"/>
      <c r="F19" s="64"/>
      <c r="G19" s="64"/>
    </row>
    <row r="20" spans="1:7" ht="63" customHeight="1">
      <c r="A20" s="336" t="s">
        <v>554</v>
      </c>
      <c r="B20" s="336" t="s">
        <v>238</v>
      </c>
      <c r="C20" s="56" t="s">
        <v>810</v>
      </c>
      <c r="D20" s="54"/>
      <c r="E20" s="53"/>
      <c r="F20" s="305"/>
      <c r="G20" s="306"/>
    </row>
    <row r="21" spans="1:7" ht="18" customHeight="1">
      <c r="A21" s="336"/>
      <c r="B21" s="336"/>
      <c r="C21" s="56" t="s">
        <v>811</v>
      </c>
      <c r="D21" s="351"/>
      <c r="E21" s="53"/>
      <c r="F21" s="308"/>
      <c r="G21" s="308"/>
    </row>
    <row r="22" spans="1:7" ht="20.45" customHeight="1">
      <c r="A22" s="336"/>
      <c r="B22" s="336"/>
      <c r="C22" s="56" t="s">
        <v>812</v>
      </c>
      <c r="D22" s="360"/>
      <c r="E22" s="53"/>
      <c r="F22" s="310"/>
      <c r="G22" s="310"/>
    </row>
    <row r="23" spans="1:7" ht="38.1" customHeight="1">
      <c r="A23" s="50" t="s">
        <v>554</v>
      </c>
      <c r="B23" s="50" t="s">
        <v>240</v>
      </c>
      <c r="C23" s="56" t="s">
        <v>813</v>
      </c>
      <c r="D23" s="54"/>
      <c r="E23" s="53"/>
      <c r="F23" s="71"/>
      <c r="G23" s="71"/>
    </row>
    <row r="24" spans="1:7" ht="48" customHeight="1">
      <c r="A24" s="50" t="s">
        <v>554</v>
      </c>
      <c r="B24" s="50" t="s">
        <v>242</v>
      </c>
      <c r="C24" s="169" t="s">
        <v>814</v>
      </c>
      <c r="D24" s="54"/>
      <c r="E24" s="53"/>
      <c r="F24" s="71"/>
      <c r="G24" s="71"/>
    </row>
    <row r="25" spans="1:7" ht="45" customHeight="1">
      <c r="A25" s="336" t="s">
        <v>554</v>
      </c>
      <c r="B25" s="336" t="s">
        <v>244</v>
      </c>
      <c r="C25" s="56" t="s">
        <v>815</v>
      </c>
      <c r="D25" s="54"/>
      <c r="E25" s="53"/>
      <c r="F25" s="305"/>
      <c r="G25" s="306"/>
    </row>
    <row r="26" spans="1:7" ht="18.95" customHeight="1">
      <c r="A26" s="336"/>
      <c r="B26" s="336"/>
      <c r="C26" s="56" t="s">
        <v>816</v>
      </c>
      <c r="D26" s="351"/>
      <c r="E26" s="53"/>
      <c r="F26" s="308"/>
      <c r="G26" s="308"/>
    </row>
    <row r="27" spans="1:7" ht="18" customHeight="1">
      <c r="A27" s="336"/>
      <c r="B27" s="336"/>
      <c r="C27" s="56" t="s">
        <v>817</v>
      </c>
      <c r="D27" s="360"/>
      <c r="E27" s="53"/>
      <c r="F27" s="309"/>
      <c r="G27" s="309"/>
    </row>
    <row r="28" spans="1:7" ht="21.6" customHeight="1">
      <c r="A28" s="336"/>
      <c r="B28" s="336"/>
      <c r="C28" s="56" t="s">
        <v>818</v>
      </c>
      <c r="D28" s="352"/>
      <c r="E28" s="53"/>
      <c r="F28" s="310"/>
      <c r="G28" s="310"/>
    </row>
    <row r="29" spans="1:7" ht="45">
      <c r="A29" s="50" t="s">
        <v>554</v>
      </c>
      <c r="B29" s="50" t="s">
        <v>246</v>
      </c>
      <c r="C29" s="169" t="s">
        <v>819</v>
      </c>
      <c r="D29" s="49"/>
      <c r="E29" s="49"/>
      <c r="F29" s="49"/>
      <c r="G29" s="49"/>
    </row>
    <row r="30" spans="1:7" ht="30">
      <c r="A30" s="50" t="s">
        <v>554</v>
      </c>
      <c r="B30" s="50" t="s">
        <v>248</v>
      </c>
      <c r="C30" s="169" t="s">
        <v>249</v>
      </c>
      <c r="D30" s="49"/>
      <c r="E30" s="49"/>
      <c r="F30" s="49"/>
      <c r="G30" s="49"/>
    </row>
  </sheetData>
  <mergeCells count="22">
    <mergeCell ref="F25:G25"/>
    <mergeCell ref="D26:D28"/>
    <mergeCell ref="F26:F28"/>
    <mergeCell ref="G26:G28"/>
    <mergeCell ref="A20:A22"/>
    <mergeCell ref="A25:A28"/>
    <mergeCell ref="B25:B28"/>
    <mergeCell ref="B20:B22"/>
    <mergeCell ref="D21:D22"/>
    <mergeCell ref="F21:F22"/>
    <mergeCell ref="G21:G22"/>
    <mergeCell ref="F20:G20"/>
    <mergeCell ref="A1:G1"/>
    <mergeCell ref="A4:A6"/>
    <mergeCell ref="B4:B6"/>
    <mergeCell ref="A7:A9"/>
    <mergeCell ref="B7:B9"/>
    <mergeCell ref="G5:G6"/>
    <mergeCell ref="E5:E6"/>
    <mergeCell ref="F5:F6"/>
    <mergeCell ref="D7:G7"/>
    <mergeCell ref="E8: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8"/>
  <sheetViews>
    <sheetView workbookViewId="0"/>
  </sheetViews>
  <sheetFormatPr defaultColWidth="8.85546875" defaultRowHeight="15"/>
  <cols>
    <col min="2" max="2" width="18.42578125" customWidth="1"/>
    <col min="3" max="3" width="83.85546875" customWidth="1"/>
    <col min="4" max="4" width="20.7109375" customWidth="1"/>
  </cols>
  <sheetData>
    <row r="1" spans="1:7" ht="14.45" customHeight="1">
      <c r="A1" s="158"/>
      <c r="B1" s="395" t="s">
        <v>820</v>
      </c>
      <c r="C1" s="395"/>
      <c r="D1" s="395"/>
      <c r="E1" s="395"/>
      <c r="F1" s="395"/>
      <c r="G1" s="395"/>
    </row>
    <row r="2" spans="1:7" ht="36.75" customHeight="1">
      <c r="A2" s="161" t="s">
        <v>548</v>
      </c>
      <c r="B2" s="160" t="s">
        <v>0</v>
      </c>
      <c r="C2" s="160" t="s">
        <v>1</v>
      </c>
      <c r="D2" s="159" t="s">
        <v>549</v>
      </c>
      <c r="E2" s="159" t="s">
        <v>550</v>
      </c>
      <c r="F2" s="159" t="s">
        <v>551</v>
      </c>
      <c r="G2" s="159" t="s">
        <v>552</v>
      </c>
    </row>
    <row r="3" spans="1:7">
      <c r="A3" s="47" t="s">
        <v>553</v>
      </c>
      <c r="B3" s="47">
        <v>7.2</v>
      </c>
      <c r="C3" s="79" t="s">
        <v>251</v>
      </c>
      <c r="D3" s="63"/>
      <c r="E3" s="64"/>
      <c r="F3" s="64"/>
      <c r="G3" s="64"/>
    </row>
    <row r="4" spans="1:7" ht="48" customHeight="1">
      <c r="A4" s="50" t="s">
        <v>554</v>
      </c>
      <c r="B4" s="50" t="s">
        <v>252</v>
      </c>
      <c r="C4" s="56" t="s">
        <v>821</v>
      </c>
      <c r="D4" s="54"/>
      <c r="E4" s="53"/>
      <c r="F4" s="71"/>
      <c r="G4" s="71"/>
    </row>
    <row r="5" spans="1:7" ht="48" customHeight="1">
      <c r="A5" s="50" t="s">
        <v>554</v>
      </c>
      <c r="B5" s="50" t="s">
        <v>254</v>
      </c>
      <c r="C5" s="56" t="s">
        <v>822</v>
      </c>
      <c r="D5" s="54"/>
      <c r="E5" s="53"/>
      <c r="F5" s="71"/>
      <c r="G5" s="71"/>
    </row>
    <row r="6" spans="1:7" ht="45" customHeight="1">
      <c r="A6" s="50" t="s">
        <v>554</v>
      </c>
      <c r="B6" s="50" t="s">
        <v>256</v>
      </c>
      <c r="C6" s="56" t="s">
        <v>823</v>
      </c>
      <c r="D6" s="54"/>
      <c r="E6" s="53"/>
      <c r="F6" s="71"/>
      <c r="G6" s="71"/>
    </row>
    <row r="7" spans="1:7" ht="48" customHeight="1">
      <c r="A7" s="50" t="s">
        <v>554</v>
      </c>
      <c r="B7" s="50" t="s">
        <v>258</v>
      </c>
      <c r="C7" s="56" t="s">
        <v>824</v>
      </c>
      <c r="D7" s="54"/>
      <c r="E7" s="53"/>
      <c r="F7" s="71"/>
      <c r="G7" s="71"/>
    </row>
    <row r="8" spans="1:7" ht="48" customHeight="1">
      <c r="A8" s="50" t="s">
        <v>554</v>
      </c>
      <c r="B8" s="50" t="s">
        <v>260</v>
      </c>
      <c r="C8" s="56" t="s">
        <v>825</v>
      </c>
      <c r="D8" s="54"/>
      <c r="E8" s="53"/>
      <c r="F8" s="71"/>
      <c r="G8" s="71"/>
    </row>
    <row r="9" spans="1:7" ht="45" customHeight="1">
      <c r="A9" s="50" t="s">
        <v>554</v>
      </c>
      <c r="B9" s="50" t="s">
        <v>262</v>
      </c>
      <c r="C9" s="56" t="s">
        <v>826</v>
      </c>
      <c r="D9" s="54"/>
      <c r="E9" s="53"/>
      <c r="F9" s="71"/>
      <c r="G9" s="71"/>
    </row>
    <row r="10" spans="1:7">
      <c r="A10" s="47" t="s">
        <v>553</v>
      </c>
      <c r="B10" s="47">
        <v>7.3</v>
      </c>
      <c r="C10" s="62" t="s">
        <v>264</v>
      </c>
      <c r="D10" s="63"/>
      <c r="E10" s="64"/>
      <c r="F10" s="64"/>
      <c r="G10" s="64"/>
    </row>
    <row r="11" spans="1:7">
      <c r="A11" s="336" t="s">
        <v>554</v>
      </c>
      <c r="B11" s="336" t="s">
        <v>265</v>
      </c>
      <c r="C11" s="78" t="s">
        <v>266</v>
      </c>
      <c r="D11" s="371"/>
      <c r="E11" s="372"/>
      <c r="F11" s="372"/>
      <c r="G11" s="372"/>
    </row>
    <row r="12" spans="1:7">
      <c r="A12" s="336"/>
      <c r="B12" s="336"/>
      <c r="C12" s="76" t="s">
        <v>267</v>
      </c>
      <c r="D12" s="67"/>
      <c r="E12" s="373"/>
      <c r="F12" s="374"/>
      <c r="G12" s="374"/>
    </row>
    <row r="13" spans="1:7">
      <c r="A13" s="336"/>
      <c r="B13" s="336"/>
      <c r="C13" s="73" t="s">
        <v>268</v>
      </c>
      <c r="D13" s="68"/>
      <c r="E13" s="375"/>
      <c r="F13" s="376"/>
      <c r="G13" s="376"/>
    </row>
    <row r="14" spans="1:7">
      <c r="A14" s="47" t="s">
        <v>553</v>
      </c>
      <c r="B14" s="47">
        <v>7.4</v>
      </c>
      <c r="C14" s="62" t="s">
        <v>269</v>
      </c>
      <c r="D14" s="63"/>
      <c r="E14" s="64"/>
      <c r="F14" s="64"/>
      <c r="G14" s="64"/>
    </row>
    <row r="15" spans="1:7" ht="44.45" customHeight="1">
      <c r="A15" s="50" t="s">
        <v>554</v>
      </c>
      <c r="B15" s="50" t="s">
        <v>270</v>
      </c>
      <c r="C15" s="56" t="s">
        <v>827</v>
      </c>
      <c r="D15" s="54"/>
      <c r="E15" s="53"/>
      <c r="F15" s="71"/>
      <c r="G15" s="71"/>
    </row>
    <row r="16" spans="1:7" ht="48" customHeight="1">
      <c r="A16" s="50" t="s">
        <v>554</v>
      </c>
      <c r="B16" s="50" t="s">
        <v>272</v>
      </c>
      <c r="C16" s="169" t="s">
        <v>828</v>
      </c>
      <c r="D16" s="54"/>
      <c r="E16" s="53"/>
      <c r="F16" s="71"/>
      <c r="G16" s="71"/>
    </row>
    <row r="17" spans="1:7" ht="63" customHeight="1">
      <c r="A17" s="336" t="s">
        <v>554</v>
      </c>
      <c r="B17" s="336" t="s">
        <v>274</v>
      </c>
      <c r="C17" s="56" t="s">
        <v>829</v>
      </c>
      <c r="D17" s="54"/>
      <c r="E17" s="53"/>
      <c r="F17" s="305"/>
      <c r="G17" s="306"/>
    </row>
    <row r="18" spans="1:7" ht="18" customHeight="1">
      <c r="A18" s="336"/>
      <c r="B18" s="336"/>
      <c r="C18" s="56" t="s">
        <v>811</v>
      </c>
      <c r="D18" s="351"/>
      <c r="E18" s="53"/>
      <c r="F18" s="308"/>
      <c r="G18" s="308"/>
    </row>
    <row r="19" spans="1:7" ht="20.45" customHeight="1">
      <c r="A19" s="336"/>
      <c r="B19" s="336"/>
      <c r="C19" s="56" t="s">
        <v>812</v>
      </c>
      <c r="D19" s="360"/>
      <c r="E19" s="53"/>
      <c r="F19" s="310"/>
      <c r="G19" s="310"/>
    </row>
    <row r="20" spans="1:7" ht="45" customHeight="1">
      <c r="A20" s="336" t="s">
        <v>554</v>
      </c>
      <c r="B20" s="336" t="s">
        <v>276</v>
      </c>
      <c r="C20" s="56" t="s">
        <v>830</v>
      </c>
      <c r="D20" s="54"/>
      <c r="E20" s="53"/>
      <c r="F20" s="305"/>
      <c r="G20" s="306"/>
    </row>
    <row r="21" spans="1:7" ht="18.95" customHeight="1">
      <c r="A21" s="336"/>
      <c r="B21" s="336"/>
      <c r="C21" s="56" t="s">
        <v>831</v>
      </c>
      <c r="D21" s="351"/>
      <c r="E21" s="53"/>
      <c r="F21" s="308"/>
      <c r="G21" s="308"/>
    </row>
    <row r="22" spans="1:7" ht="18.95" customHeight="1">
      <c r="A22" s="336"/>
      <c r="B22" s="336"/>
      <c r="C22" s="56" t="s">
        <v>832</v>
      </c>
      <c r="D22" s="360"/>
      <c r="E22" s="53"/>
      <c r="F22" s="309"/>
      <c r="G22" s="309"/>
    </row>
    <row r="23" spans="1:7" ht="18" customHeight="1">
      <c r="A23" s="336"/>
      <c r="B23" s="336"/>
      <c r="C23" s="56" t="s">
        <v>833</v>
      </c>
      <c r="D23" s="360"/>
      <c r="E23" s="53"/>
      <c r="F23" s="309"/>
      <c r="G23" s="309"/>
    </row>
    <row r="24" spans="1:7" ht="21.6" customHeight="1">
      <c r="A24" s="336"/>
      <c r="B24" s="336"/>
      <c r="C24" s="56" t="s">
        <v>834</v>
      </c>
      <c r="D24" s="352"/>
      <c r="E24" s="53"/>
      <c r="F24" s="310"/>
      <c r="G24" s="310"/>
    </row>
    <row r="25" spans="1:7" ht="48" customHeight="1">
      <c r="A25" s="50" t="s">
        <v>554</v>
      </c>
      <c r="B25" s="50" t="s">
        <v>278</v>
      </c>
      <c r="C25" s="56" t="s">
        <v>835</v>
      </c>
      <c r="D25" s="54"/>
      <c r="E25" s="53"/>
      <c r="F25" s="71"/>
      <c r="G25" s="71"/>
    </row>
    <row r="26" spans="1:7">
      <c r="B26" s="224">
        <v>7.5</v>
      </c>
      <c r="C26" s="225" t="s">
        <v>280</v>
      </c>
      <c r="D26" s="221"/>
      <c r="E26" s="222"/>
      <c r="F26" s="222"/>
      <c r="G26" s="49"/>
    </row>
    <row r="27" spans="1:7">
      <c r="B27" s="223"/>
      <c r="C27" s="90" t="s">
        <v>267</v>
      </c>
      <c r="D27" s="393"/>
      <c r="E27" s="393"/>
      <c r="F27" s="394"/>
      <c r="G27" s="49"/>
    </row>
    <row r="28" spans="1:7">
      <c r="B28" s="223"/>
      <c r="C28" s="90" t="s">
        <v>282</v>
      </c>
      <c r="D28" s="393"/>
      <c r="E28" s="393"/>
      <c r="F28" s="394"/>
      <c r="G28" s="49"/>
    </row>
  </sheetData>
  <mergeCells count="20">
    <mergeCell ref="B1:G1"/>
    <mergeCell ref="B17:B19"/>
    <mergeCell ref="F17:G17"/>
    <mergeCell ref="D18:D19"/>
    <mergeCell ref="F18:F19"/>
    <mergeCell ref="G18:G19"/>
    <mergeCell ref="D11:G11"/>
    <mergeCell ref="E12:G13"/>
    <mergeCell ref="D27:D28"/>
    <mergeCell ref="E27:E28"/>
    <mergeCell ref="F27:F28"/>
    <mergeCell ref="A11:A13"/>
    <mergeCell ref="B11:B13"/>
    <mergeCell ref="A17:A19"/>
    <mergeCell ref="A20:A24"/>
    <mergeCell ref="B20:B24"/>
    <mergeCell ref="F20:G20"/>
    <mergeCell ref="D21:D24"/>
    <mergeCell ref="F21:F24"/>
    <mergeCell ref="G21:G2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ColWidth="8.85546875" defaultRowHeight="15"/>
  <cols>
    <col min="2" max="2" width="18.28515625" customWidth="1"/>
    <col min="3" max="3" width="83.85546875" customWidth="1"/>
    <col min="4" max="4" width="23.140625" customWidth="1"/>
  </cols>
  <sheetData>
    <row r="1" spans="1:7" ht="14.45" customHeight="1">
      <c r="A1" s="396" t="s">
        <v>836</v>
      </c>
      <c r="B1" s="396"/>
      <c r="C1" s="396"/>
      <c r="D1" s="396"/>
      <c r="E1" s="396"/>
      <c r="F1" s="396"/>
      <c r="G1" s="396"/>
    </row>
    <row r="2" spans="1:7" ht="39.75" customHeight="1">
      <c r="A2" s="162" t="s">
        <v>548</v>
      </c>
      <c r="B2" s="157" t="s">
        <v>0</v>
      </c>
      <c r="C2" s="157" t="s">
        <v>1</v>
      </c>
      <c r="D2" s="156" t="s">
        <v>549</v>
      </c>
      <c r="E2" s="156" t="s">
        <v>550</v>
      </c>
      <c r="F2" s="156" t="s">
        <v>551</v>
      </c>
      <c r="G2" s="156" t="s">
        <v>552</v>
      </c>
    </row>
    <row r="3" spans="1:7">
      <c r="A3" s="47" t="s">
        <v>553</v>
      </c>
      <c r="B3" s="47">
        <v>8.1999999999999993</v>
      </c>
      <c r="C3" s="79" t="s">
        <v>284</v>
      </c>
      <c r="D3" s="63"/>
      <c r="E3" s="64"/>
      <c r="F3" s="64"/>
      <c r="G3" s="64"/>
    </row>
    <row r="4" spans="1:7" ht="59.45" customHeight="1">
      <c r="A4" s="83" t="s">
        <v>554</v>
      </c>
      <c r="B4" s="50" t="s">
        <v>285</v>
      </c>
      <c r="C4" s="56" t="s">
        <v>837</v>
      </c>
      <c r="D4" s="54"/>
      <c r="E4" s="53"/>
      <c r="F4" s="71"/>
      <c r="G4" s="71"/>
    </row>
    <row r="5" spans="1:7" ht="48" customHeight="1">
      <c r="A5" s="83" t="s">
        <v>554</v>
      </c>
      <c r="B5" s="50" t="s">
        <v>287</v>
      </c>
      <c r="C5" s="56" t="s">
        <v>838</v>
      </c>
      <c r="D5" s="54"/>
      <c r="E5" s="53"/>
      <c r="F5" s="71"/>
      <c r="G5" s="71"/>
    </row>
    <row r="6" spans="1:7" ht="45" customHeight="1">
      <c r="A6" s="83" t="s">
        <v>554</v>
      </c>
      <c r="B6" s="50" t="s">
        <v>289</v>
      </c>
      <c r="C6" s="56" t="s">
        <v>839</v>
      </c>
      <c r="D6" s="54"/>
      <c r="E6" s="53"/>
      <c r="F6" s="71"/>
      <c r="G6" s="71"/>
    </row>
    <row r="7" spans="1:7" ht="48" customHeight="1">
      <c r="A7" s="83" t="s">
        <v>554</v>
      </c>
      <c r="B7" s="50" t="s">
        <v>291</v>
      </c>
      <c r="C7" s="56" t="s">
        <v>840</v>
      </c>
      <c r="D7" s="54"/>
      <c r="E7" s="53"/>
      <c r="F7" s="71"/>
      <c r="G7" s="71"/>
    </row>
    <row r="8" spans="1:7" ht="48" customHeight="1">
      <c r="A8" s="83" t="s">
        <v>554</v>
      </c>
      <c r="B8" s="50" t="s">
        <v>293</v>
      </c>
      <c r="C8" s="56" t="s">
        <v>841</v>
      </c>
      <c r="D8" s="54"/>
      <c r="E8" s="53"/>
      <c r="F8" s="71"/>
      <c r="G8" s="71"/>
    </row>
    <row r="9" spans="1:7" ht="45" customHeight="1">
      <c r="A9" s="83" t="s">
        <v>554</v>
      </c>
      <c r="B9" s="50" t="s">
        <v>295</v>
      </c>
      <c r="C9" s="56" t="s">
        <v>842</v>
      </c>
      <c r="D9" s="54"/>
      <c r="E9" s="53"/>
      <c r="F9" s="71"/>
      <c r="G9" s="71"/>
    </row>
    <row r="10" spans="1:7" ht="48" customHeight="1">
      <c r="A10" s="83" t="s">
        <v>554</v>
      </c>
      <c r="B10" s="50" t="s">
        <v>297</v>
      </c>
      <c r="C10" s="56" t="s">
        <v>843</v>
      </c>
      <c r="D10" s="54"/>
      <c r="E10" s="53"/>
      <c r="F10" s="71"/>
      <c r="G10" s="71"/>
    </row>
    <row r="11" spans="1:7" ht="45" customHeight="1">
      <c r="A11" s="83" t="s">
        <v>554</v>
      </c>
      <c r="B11" s="50" t="s">
        <v>299</v>
      </c>
      <c r="C11" s="56" t="s">
        <v>844</v>
      </c>
      <c r="D11" s="54"/>
      <c r="E11" s="53"/>
      <c r="F11" s="71"/>
      <c r="G11" s="71"/>
    </row>
    <row r="12" spans="1:7" ht="45">
      <c r="A12" s="83" t="s">
        <v>554</v>
      </c>
      <c r="B12" s="50" t="s">
        <v>301</v>
      </c>
      <c r="C12" s="56" t="s">
        <v>845</v>
      </c>
      <c r="D12" s="54"/>
      <c r="E12" s="53"/>
      <c r="F12" s="71"/>
      <c r="G12" s="71"/>
    </row>
    <row r="13" spans="1:7">
      <c r="A13" s="47" t="s">
        <v>553</v>
      </c>
      <c r="B13" s="25">
        <v>8.3000000000000007</v>
      </c>
      <c r="C13" s="62" t="s">
        <v>303</v>
      </c>
      <c r="D13" s="63"/>
      <c r="E13" s="64"/>
      <c r="F13" s="64"/>
      <c r="G13" s="64"/>
    </row>
    <row r="14" spans="1:7">
      <c r="A14" s="302" t="s">
        <v>554</v>
      </c>
      <c r="B14" s="302" t="s">
        <v>304</v>
      </c>
      <c r="C14" s="78" t="s">
        <v>303</v>
      </c>
      <c r="D14" s="371"/>
      <c r="E14" s="372"/>
      <c r="F14" s="372"/>
      <c r="G14" s="372"/>
    </row>
    <row r="15" spans="1:7">
      <c r="A15" s="303"/>
      <c r="B15" s="303"/>
      <c r="C15" s="76" t="s">
        <v>305</v>
      </c>
      <c r="D15" s="67"/>
      <c r="E15" s="373"/>
      <c r="F15" s="374"/>
      <c r="G15" s="374"/>
    </row>
    <row r="16" spans="1:7">
      <c r="A16" s="304"/>
      <c r="B16" s="304"/>
      <c r="C16" s="73" t="s">
        <v>306</v>
      </c>
      <c r="D16" s="68"/>
      <c r="E16" s="375"/>
      <c r="F16" s="376"/>
      <c r="G16" s="376"/>
    </row>
    <row r="17" spans="1:7">
      <c r="A17" s="47" t="s">
        <v>553</v>
      </c>
      <c r="B17" s="25">
        <v>8.4</v>
      </c>
      <c r="C17" s="62" t="s">
        <v>307</v>
      </c>
      <c r="D17" s="63"/>
      <c r="E17" s="64"/>
      <c r="F17" s="64"/>
      <c r="G17" s="64"/>
    </row>
    <row r="18" spans="1:7">
      <c r="A18" s="302" t="s">
        <v>554</v>
      </c>
      <c r="B18" s="302" t="s">
        <v>308</v>
      </c>
      <c r="C18" s="78" t="s">
        <v>846</v>
      </c>
      <c r="D18" s="371"/>
      <c r="E18" s="372"/>
      <c r="F18" s="372"/>
      <c r="G18" s="372"/>
    </row>
    <row r="19" spans="1:7">
      <c r="A19" s="303"/>
      <c r="B19" s="303"/>
      <c r="C19" s="76" t="s">
        <v>69</v>
      </c>
      <c r="D19" s="67"/>
      <c r="E19" s="373"/>
      <c r="F19" s="374"/>
      <c r="G19" s="374"/>
    </row>
    <row r="20" spans="1:7">
      <c r="A20" s="304"/>
      <c r="B20" s="304"/>
      <c r="C20" s="73" t="s">
        <v>310</v>
      </c>
      <c r="D20" s="68"/>
      <c r="E20" s="375"/>
      <c r="F20" s="376"/>
      <c r="G20" s="376"/>
    </row>
    <row r="21" spans="1:7">
      <c r="A21" s="47" t="s">
        <v>553</v>
      </c>
      <c r="B21" s="25">
        <v>8.5</v>
      </c>
      <c r="C21" s="62" t="s">
        <v>311</v>
      </c>
      <c r="D21" s="63"/>
      <c r="E21" s="64"/>
      <c r="F21" s="64"/>
      <c r="G21" s="64"/>
    </row>
    <row r="22" spans="1:7">
      <c r="A22" s="302" t="s">
        <v>554</v>
      </c>
      <c r="B22" s="302" t="s">
        <v>312</v>
      </c>
      <c r="C22" s="78" t="s">
        <v>311</v>
      </c>
      <c r="D22" s="371"/>
      <c r="E22" s="372"/>
      <c r="F22" s="372"/>
      <c r="G22" s="372"/>
    </row>
    <row r="23" spans="1:7">
      <c r="A23" s="303"/>
      <c r="B23" s="303"/>
      <c r="C23" s="76" t="s">
        <v>305</v>
      </c>
      <c r="D23" s="67"/>
      <c r="E23" s="373"/>
      <c r="F23" s="374"/>
      <c r="G23" s="374"/>
    </row>
    <row r="24" spans="1:7">
      <c r="A24" s="304"/>
      <c r="B24" s="304"/>
      <c r="C24" s="73" t="s">
        <v>313</v>
      </c>
      <c r="D24" s="68"/>
      <c r="E24" s="375"/>
      <c r="F24" s="376"/>
      <c r="G24" s="376"/>
    </row>
  </sheetData>
  <mergeCells count="13">
    <mergeCell ref="B22:B24"/>
    <mergeCell ref="A22:A24"/>
    <mergeCell ref="A1:G1"/>
    <mergeCell ref="B14:B16"/>
    <mergeCell ref="A14:A16"/>
    <mergeCell ref="A18:A20"/>
    <mergeCell ref="B18:B20"/>
    <mergeCell ref="E23:G24"/>
    <mergeCell ref="D14:G14"/>
    <mergeCell ref="E15:G16"/>
    <mergeCell ref="D18:G18"/>
    <mergeCell ref="E19:G20"/>
    <mergeCell ref="D22:G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3"/>
  <sheetViews>
    <sheetView workbookViewId="0"/>
  </sheetViews>
  <sheetFormatPr defaultColWidth="8.85546875" defaultRowHeight="15"/>
  <cols>
    <col min="1" max="1" width="9.140625" style="155"/>
    <col min="2" max="2" width="18.140625" style="155" customWidth="1"/>
    <col min="3" max="3" width="85" customWidth="1"/>
    <col min="4" max="4" width="21.140625" customWidth="1"/>
  </cols>
  <sheetData>
    <row r="1" spans="1:7" ht="14.45" customHeight="1">
      <c r="A1" s="397" t="s">
        <v>847</v>
      </c>
      <c r="B1" s="397"/>
      <c r="C1" s="397"/>
      <c r="D1" s="397"/>
      <c r="E1" s="397"/>
      <c r="F1" s="397"/>
      <c r="G1" s="397"/>
    </row>
    <row r="2" spans="1:7" ht="32.25" customHeight="1">
      <c r="A2" s="152" t="s">
        <v>548</v>
      </c>
      <c r="B2" s="153" t="s">
        <v>0</v>
      </c>
      <c r="C2" s="150" t="s">
        <v>1</v>
      </c>
      <c r="D2" s="151" t="s">
        <v>549</v>
      </c>
      <c r="E2" s="151" t="s">
        <v>550</v>
      </c>
      <c r="F2" s="151" t="s">
        <v>551</v>
      </c>
      <c r="G2" s="151" t="s">
        <v>552</v>
      </c>
    </row>
    <row r="3" spans="1:7">
      <c r="A3" s="154" t="s">
        <v>553</v>
      </c>
      <c r="B3" s="154">
        <v>9.3000000000000007</v>
      </c>
      <c r="C3" s="48" t="s">
        <v>315</v>
      </c>
      <c r="D3" s="338"/>
      <c r="E3" s="339"/>
      <c r="F3" s="339"/>
      <c r="G3" s="339"/>
    </row>
    <row r="4" spans="1:7">
      <c r="A4" s="302" t="s">
        <v>554</v>
      </c>
      <c r="B4" s="302" t="s">
        <v>316</v>
      </c>
      <c r="C4" s="51" t="s">
        <v>848</v>
      </c>
      <c r="D4" s="340"/>
      <c r="E4" s="341"/>
      <c r="F4" s="341"/>
      <c r="G4" s="341"/>
    </row>
    <row r="5" spans="1:7">
      <c r="A5" s="304"/>
      <c r="B5" s="304"/>
      <c r="C5" s="76" t="s">
        <v>849</v>
      </c>
      <c r="D5" s="53"/>
      <c r="E5" s="342"/>
      <c r="F5" s="343"/>
      <c r="G5" s="343"/>
    </row>
    <row r="6" spans="1:7">
      <c r="A6" s="154" t="s">
        <v>553</v>
      </c>
      <c r="B6" s="154">
        <v>9.4</v>
      </c>
      <c r="C6" s="48" t="s">
        <v>318</v>
      </c>
      <c r="D6" s="338"/>
      <c r="E6" s="339"/>
      <c r="F6" s="339"/>
      <c r="G6" s="339"/>
    </row>
    <row r="7" spans="1:7">
      <c r="A7" s="302" t="s">
        <v>554</v>
      </c>
      <c r="B7" s="302" t="s">
        <v>319</v>
      </c>
      <c r="C7" s="174" t="s">
        <v>320</v>
      </c>
      <c r="D7" s="340"/>
      <c r="E7" s="341"/>
      <c r="F7" s="341"/>
      <c r="G7" s="341"/>
    </row>
    <row r="8" spans="1:7" ht="15.75">
      <c r="A8" s="303"/>
      <c r="B8" s="303"/>
      <c r="C8" s="104" t="s">
        <v>850</v>
      </c>
      <c r="D8" s="103"/>
      <c r="E8" s="342"/>
      <c r="F8" s="343"/>
      <c r="G8" s="343"/>
    </row>
    <row r="9" spans="1:7" ht="15.75">
      <c r="A9" s="303"/>
      <c r="B9" s="303"/>
      <c r="C9" s="104" t="s">
        <v>851</v>
      </c>
      <c r="D9" s="103"/>
      <c r="E9" s="342"/>
      <c r="F9" s="343"/>
      <c r="G9" s="343"/>
    </row>
    <row r="10" spans="1:7" ht="15.75">
      <c r="A10" s="303"/>
      <c r="B10" s="303"/>
      <c r="C10" s="104" t="s">
        <v>852</v>
      </c>
      <c r="D10" s="103"/>
      <c r="E10" s="342"/>
      <c r="F10" s="343"/>
      <c r="G10" s="343"/>
    </row>
    <row r="11" spans="1:7" ht="15.75">
      <c r="A11" s="303"/>
      <c r="B11" s="303"/>
      <c r="C11" s="105" t="s">
        <v>324</v>
      </c>
      <c r="D11" s="103"/>
      <c r="E11" s="342"/>
      <c r="F11" s="343"/>
      <c r="G11" s="343"/>
    </row>
    <row r="12" spans="1:7" ht="15.75">
      <c r="A12" s="303"/>
      <c r="B12" s="303"/>
      <c r="C12" s="105" t="s">
        <v>325</v>
      </c>
      <c r="D12" s="103"/>
      <c r="E12" s="342"/>
      <c r="F12" s="343"/>
      <c r="G12" s="343"/>
    </row>
    <row r="13" spans="1:7" ht="15.75">
      <c r="A13" s="304"/>
      <c r="B13" s="304"/>
      <c r="C13" s="105" t="s">
        <v>853</v>
      </c>
      <c r="D13" s="103"/>
      <c r="E13" s="353"/>
      <c r="F13" s="354"/>
      <c r="G13" s="354"/>
    </row>
  </sheetData>
  <mergeCells count="14">
    <mergeCell ref="A1:G1"/>
    <mergeCell ref="B7:B13"/>
    <mergeCell ref="A7:A13"/>
    <mergeCell ref="B4:B5"/>
    <mergeCell ref="A4:A5"/>
    <mergeCell ref="E9:G9"/>
    <mergeCell ref="E10:G10"/>
    <mergeCell ref="E11:G11"/>
    <mergeCell ref="E12:G12"/>
    <mergeCell ref="E13:G13"/>
    <mergeCell ref="D3:G4"/>
    <mergeCell ref="E5:G5"/>
    <mergeCell ref="D6:G7"/>
    <mergeCell ref="E8:G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32"/>
  <sheetViews>
    <sheetView workbookViewId="0"/>
  </sheetViews>
  <sheetFormatPr defaultColWidth="8.85546875" defaultRowHeight="15"/>
  <cols>
    <col min="1" max="1" width="9.140625" style="111"/>
    <col min="2" max="2" width="19.85546875" style="111" customWidth="1"/>
    <col min="3" max="3" width="46.42578125" style="231" customWidth="1"/>
    <col min="4" max="4" width="41.140625" style="236" customWidth="1"/>
    <col min="5" max="5" width="22" style="236" customWidth="1"/>
    <col min="6" max="6" width="22.42578125" customWidth="1"/>
    <col min="10" max="10" width="29.28515625" customWidth="1"/>
    <col min="11" max="11" width="22" customWidth="1"/>
    <col min="12" max="12" width="30" customWidth="1"/>
    <col min="13" max="13" width="38" customWidth="1"/>
    <col min="14" max="14" width="27" customWidth="1"/>
    <col min="15" max="15" width="15" customWidth="1"/>
    <col min="16" max="16" width="12" customWidth="1"/>
    <col min="17" max="17" width="15" customWidth="1"/>
  </cols>
  <sheetData>
    <row r="1" spans="1:17" ht="14.45" customHeight="1">
      <c r="A1" s="398" t="s">
        <v>854</v>
      </c>
      <c r="B1" s="398"/>
      <c r="C1" s="398"/>
      <c r="D1" s="398"/>
      <c r="E1" s="398"/>
      <c r="F1" s="398"/>
      <c r="G1" s="398"/>
      <c r="H1" s="398"/>
      <c r="I1" s="398"/>
      <c r="J1" s="398"/>
      <c r="K1" s="386" t="s">
        <v>660</v>
      </c>
      <c r="L1" s="386"/>
      <c r="M1" s="386"/>
      <c r="N1" s="386"/>
      <c r="O1" s="386"/>
      <c r="P1" s="386"/>
      <c r="Q1" s="386"/>
    </row>
    <row r="2" spans="1:17" s="15" customFormat="1" ht="40.5" customHeight="1">
      <c r="A2" s="163" t="s">
        <v>548</v>
      </c>
      <c r="B2" s="149" t="s">
        <v>0</v>
      </c>
      <c r="C2" s="149" t="s">
        <v>1</v>
      </c>
      <c r="D2" s="149" t="s">
        <v>661</v>
      </c>
      <c r="E2" s="295" t="s">
        <v>662</v>
      </c>
      <c r="F2" s="148" t="s">
        <v>549</v>
      </c>
      <c r="G2" s="148" t="s">
        <v>550</v>
      </c>
      <c r="H2" s="148" t="s">
        <v>551</v>
      </c>
      <c r="I2" s="148" t="s">
        <v>552</v>
      </c>
      <c r="J2" s="273" t="s">
        <v>602</v>
      </c>
      <c r="K2" s="298" t="s">
        <v>663</v>
      </c>
      <c r="L2" s="298" t="s">
        <v>664</v>
      </c>
      <c r="M2" s="298" t="s">
        <v>665</v>
      </c>
      <c r="N2" s="298" t="s">
        <v>666</v>
      </c>
      <c r="O2" s="298" t="s">
        <v>667</v>
      </c>
      <c r="P2" s="298" t="s">
        <v>668</v>
      </c>
      <c r="Q2" s="298" t="s">
        <v>669</v>
      </c>
    </row>
    <row r="3" spans="1:17" ht="30">
      <c r="A3" s="47" t="s">
        <v>553</v>
      </c>
      <c r="B3" s="47">
        <v>10.199999999999999</v>
      </c>
      <c r="C3" s="257" t="s">
        <v>855</v>
      </c>
      <c r="D3" s="250" t="s">
        <v>856</v>
      </c>
      <c r="E3" s="266" t="s">
        <v>672</v>
      </c>
      <c r="F3" s="63"/>
      <c r="G3" s="64"/>
      <c r="H3" s="64"/>
      <c r="I3" s="64"/>
      <c r="J3" s="49"/>
      <c r="K3" s="235" t="s">
        <v>672</v>
      </c>
      <c r="L3" s="235" t="s">
        <v>672</v>
      </c>
      <c r="M3" s="235" t="s">
        <v>718</v>
      </c>
      <c r="N3" s="235" t="s">
        <v>674</v>
      </c>
      <c r="O3" s="299">
        <v>0.155</v>
      </c>
      <c r="P3" s="235" t="str">
        <f>IF(ISBLANK(O3),"",IF(O3=0,"Baja",IF(OR(O3&gt;=10%,ISNUMBER(SEARCH("Política",N3))),"Alta","Media")))</f>
        <v>Alta</v>
      </c>
      <c r="Q3" s="235" t="s">
        <v>675</v>
      </c>
    </row>
    <row r="4" spans="1:17" ht="30">
      <c r="A4" s="302" t="s">
        <v>554</v>
      </c>
      <c r="B4" s="302" t="s">
        <v>329</v>
      </c>
      <c r="C4" s="231" t="s">
        <v>160</v>
      </c>
      <c r="D4" s="206" t="s">
        <v>717</v>
      </c>
      <c r="E4"/>
      <c r="F4" s="371"/>
      <c r="G4" s="372"/>
      <c r="H4" s="372"/>
      <c r="I4" s="372"/>
      <c r="J4" s="49"/>
      <c r="K4" s="235" t="s">
        <v>672</v>
      </c>
      <c r="L4" s="235" t="s">
        <v>672</v>
      </c>
      <c r="M4" s="235" t="s">
        <v>718</v>
      </c>
      <c r="N4" s="235" t="s">
        <v>677</v>
      </c>
      <c r="O4" s="299">
        <v>0.155</v>
      </c>
      <c r="P4" s="235" t="str">
        <f>IF(ISBLANK(O4),"",IF(O4=0,"Baja",IF(OR(O4&gt;=10%,ISNUMBER(SEARCH("Política",N4))),"Alta","Media")))</f>
        <v>Alta</v>
      </c>
      <c r="Q4" s="235" t="s">
        <v>675</v>
      </c>
    </row>
    <row r="5" spans="1:17" ht="30">
      <c r="A5" s="303"/>
      <c r="B5" s="303"/>
      <c r="C5" s="238" t="s">
        <v>330</v>
      </c>
      <c r="D5" s="56" t="s">
        <v>719</v>
      </c>
      <c r="E5" s="262"/>
      <c r="F5" s="67"/>
      <c r="G5" s="373"/>
      <c r="H5" s="374"/>
      <c r="I5" s="374"/>
      <c r="J5" s="49"/>
      <c r="K5" s="235" t="s">
        <v>672</v>
      </c>
      <c r="L5" s="235" t="s">
        <v>672</v>
      </c>
      <c r="M5" s="235" t="s">
        <v>718</v>
      </c>
      <c r="N5" s="235" t="s">
        <v>677</v>
      </c>
      <c r="O5" s="299"/>
      <c r="P5" s="235"/>
      <c r="Q5" s="235"/>
    </row>
    <row r="6" spans="1:17" ht="30">
      <c r="A6" s="304"/>
      <c r="B6" s="304"/>
      <c r="C6" s="238" t="s">
        <v>331</v>
      </c>
      <c r="D6" s="56" t="s">
        <v>720</v>
      </c>
      <c r="E6" s="265"/>
      <c r="F6" s="68"/>
      <c r="G6" s="375"/>
      <c r="H6" s="376"/>
      <c r="I6" s="376"/>
      <c r="J6" s="49"/>
      <c r="K6" s="235" t="s">
        <v>672</v>
      </c>
      <c r="L6" s="235" t="s">
        <v>672</v>
      </c>
      <c r="M6" s="235" t="s">
        <v>718</v>
      </c>
      <c r="N6" s="235" t="s">
        <v>677</v>
      </c>
      <c r="O6" s="299"/>
      <c r="P6" s="235"/>
      <c r="Q6" s="235"/>
    </row>
    <row r="7" spans="1:17" ht="45">
      <c r="A7" s="47" t="s">
        <v>553</v>
      </c>
      <c r="B7" s="25">
        <v>10.3</v>
      </c>
      <c r="C7" s="232" t="s">
        <v>857</v>
      </c>
      <c r="D7" s="250" t="s">
        <v>858</v>
      </c>
      <c r="E7" s="259" t="s">
        <v>859</v>
      </c>
      <c r="F7" s="63"/>
      <c r="G7" s="64"/>
      <c r="H7" s="64"/>
      <c r="I7" s="64"/>
      <c r="J7" s="49"/>
      <c r="K7" s="235" t="s">
        <v>672</v>
      </c>
      <c r="L7" s="235" t="s">
        <v>672</v>
      </c>
      <c r="M7" s="235" t="s">
        <v>860</v>
      </c>
      <c r="N7" s="235" t="s">
        <v>674</v>
      </c>
      <c r="O7" s="299">
        <v>0.155</v>
      </c>
      <c r="P7" s="235" t="str">
        <f>IF(ISBLANK(O7),"",IF(O7=0,"Baja",IF(OR(O7&gt;=10%,ISNUMBER(SEARCH("Política",N7))),"Alta","Media")))</f>
        <v>Alta</v>
      </c>
      <c r="Q7" s="235" t="s">
        <v>675</v>
      </c>
    </row>
    <row r="8" spans="1:17" ht="30">
      <c r="A8" s="302" t="s">
        <v>554</v>
      </c>
      <c r="B8" s="302" t="s">
        <v>333</v>
      </c>
      <c r="C8" s="20" t="s">
        <v>334</v>
      </c>
      <c r="D8" s="52" t="s">
        <v>861</v>
      </c>
      <c r="E8" s="296"/>
      <c r="F8" s="371"/>
      <c r="G8" s="372"/>
      <c r="H8" s="372"/>
      <c r="I8" s="372"/>
      <c r="J8" s="49"/>
      <c r="K8" s="235" t="s">
        <v>672</v>
      </c>
      <c r="L8" s="235" t="s">
        <v>672</v>
      </c>
      <c r="M8" s="235" t="s">
        <v>860</v>
      </c>
      <c r="N8" s="235" t="s">
        <v>677</v>
      </c>
      <c r="O8" s="299">
        <v>0.155</v>
      </c>
      <c r="P8" s="235" t="str">
        <f>IF(ISBLANK(O8),"",IF(O8=0,"Baja",IF(OR(O8&gt;=10%,ISNUMBER(SEARCH("Política",N8))),"Alta","Media")))</f>
        <v>Alta</v>
      </c>
      <c r="Q8" s="235" t="s">
        <v>675</v>
      </c>
    </row>
    <row r="9" spans="1:17" ht="30">
      <c r="A9" s="303"/>
      <c r="B9" s="303"/>
      <c r="C9" s="268" t="s">
        <v>69</v>
      </c>
      <c r="D9" s="56" t="s">
        <v>862</v>
      </c>
      <c r="E9" s="262"/>
      <c r="F9" s="67"/>
      <c r="G9" s="373"/>
      <c r="H9" s="374"/>
      <c r="I9" s="374"/>
      <c r="J9" s="49"/>
      <c r="K9" s="235" t="s">
        <v>672</v>
      </c>
      <c r="L9" s="235" t="s">
        <v>672</v>
      </c>
      <c r="M9" s="235" t="s">
        <v>860</v>
      </c>
      <c r="N9" s="235" t="s">
        <v>677</v>
      </c>
      <c r="O9" s="299"/>
      <c r="P9" s="235"/>
      <c r="Q9" s="235"/>
    </row>
    <row r="10" spans="1:17" ht="30">
      <c r="A10" s="304"/>
      <c r="B10" s="304"/>
      <c r="C10" s="268" t="s">
        <v>335</v>
      </c>
      <c r="D10" s="56" t="s">
        <v>863</v>
      </c>
      <c r="E10" s="265"/>
      <c r="F10" s="68"/>
      <c r="G10" s="375"/>
      <c r="H10" s="376"/>
      <c r="I10" s="376"/>
      <c r="J10" s="49"/>
      <c r="K10" s="235" t="s">
        <v>672</v>
      </c>
      <c r="L10" s="235" t="s">
        <v>672</v>
      </c>
      <c r="M10" s="235" t="s">
        <v>860</v>
      </c>
      <c r="N10" s="235" t="s">
        <v>677</v>
      </c>
      <c r="O10" s="299"/>
      <c r="P10" s="235"/>
      <c r="Q10" s="235"/>
    </row>
    <row r="11" spans="1:17" ht="30">
      <c r="A11" s="47" t="s">
        <v>553</v>
      </c>
      <c r="B11" s="25">
        <v>10.4</v>
      </c>
      <c r="C11" s="232" t="s">
        <v>338</v>
      </c>
      <c r="D11" s="250" t="s">
        <v>864</v>
      </c>
      <c r="E11" s="259" t="s">
        <v>672</v>
      </c>
      <c r="F11" s="63"/>
      <c r="G11" s="64"/>
      <c r="H11" s="64"/>
      <c r="I11" s="64"/>
      <c r="J11" s="49"/>
      <c r="K11" s="235" t="s">
        <v>672</v>
      </c>
      <c r="L11" s="235" t="s">
        <v>672</v>
      </c>
      <c r="M11" s="235" t="s">
        <v>865</v>
      </c>
      <c r="N11" s="235" t="s">
        <v>674</v>
      </c>
      <c r="O11" s="299">
        <v>0.115</v>
      </c>
      <c r="P11" s="235" t="str">
        <f>IF(ISBLANK(O11),"",IF(O11=0,"Baja",IF(OR(O11&gt;=10%,ISNUMBER(SEARCH("Política",N11))),"Alta","Media")))</f>
        <v>Alta</v>
      </c>
      <c r="Q11" s="235" t="s">
        <v>675</v>
      </c>
    </row>
    <row r="12" spans="1:17" ht="30">
      <c r="A12" s="302" t="s">
        <v>554</v>
      </c>
      <c r="B12" s="302" t="s">
        <v>337</v>
      </c>
      <c r="C12" s="20" t="s">
        <v>338</v>
      </c>
      <c r="D12" s="52" t="s">
        <v>864</v>
      </c>
      <c r="E12" s="296"/>
      <c r="F12" s="371"/>
      <c r="G12" s="372"/>
      <c r="H12" s="372"/>
      <c r="I12" s="372"/>
      <c r="J12" s="49"/>
      <c r="K12" s="235" t="s">
        <v>672</v>
      </c>
      <c r="L12" s="235" t="s">
        <v>672</v>
      </c>
      <c r="M12" s="235" t="s">
        <v>865</v>
      </c>
      <c r="N12" s="235" t="s">
        <v>677</v>
      </c>
      <c r="O12" s="299">
        <v>0.115</v>
      </c>
      <c r="P12" s="235" t="str">
        <f>IF(ISBLANK(O12),"",IF(O12=0,"Baja",IF(OR(O12&gt;=10%,ISNUMBER(SEARCH("Política",N12))),"Alta","Media")))</f>
        <v>Alta</v>
      </c>
      <c r="Q12" s="235" t="s">
        <v>675</v>
      </c>
    </row>
    <row r="13" spans="1:17" ht="30">
      <c r="A13" s="303"/>
      <c r="B13" s="303"/>
      <c r="C13" s="269" t="s">
        <v>69</v>
      </c>
      <c r="D13" s="56" t="s">
        <v>862</v>
      </c>
      <c r="E13" s="263"/>
      <c r="F13" s="67"/>
      <c r="G13" s="373"/>
      <c r="H13" s="374"/>
      <c r="I13" s="374"/>
      <c r="J13" s="49"/>
      <c r="K13" s="235" t="s">
        <v>672</v>
      </c>
      <c r="L13" s="235" t="s">
        <v>672</v>
      </c>
      <c r="M13" s="235" t="s">
        <v>865</v>
      </c>
      <c r="N13" s="235" t="s">
        <v>677</v>
      </c>
      <c r="O13" s="299"/>
      <c r="P13" s="235"/>
      <c r="Q13" s="235"/>
    </row>
    <row r="14" spans="1:17" ht="30">
      <c r="A14" s="304"/>
      <c r="B14" s="304"/>
      <c r="C14" s="270" t="s">
        <v>339</v>
      </c>
      <c r="D14" s="56" t="s">
        <v>866</v>
      </c>
      <c r="E14" s="265"/>
      <c r="F14" s="68"/>
      <c r="G14" s="375"/>
      <c r="H14" s="376"/>
      <c r="I14" s="376"/>
      <c r="J14" s="49"/>
      <c r="K14" s="235" t="s">
        <v>672</v>
      </c>
      <c r="L14" s="235" t="s">
        <v>672</v>
      </c>
      <c r="M14" s="235" t="s">
        <v>865</v>
      </c>
      <c r="N14" s="235" t="s">
        <v>677</v>
      </c>
      <c r="O14" s="299"/>
      <c r="P14" s="235"/>
      <c r="Q14" s="235"/>
    </row>
    <row r="15" spans="1:17" ht="30">
      <c r="A15" s="47" t="s">
        <v>553</v>
      </c>
      <c r="B15" s="25">
        <v>10.5</v>
      </c>
      <c r="C15" s="232" t="s">
        <v>342</v>
      </c>
      <c r="D15" s="250" t="s">
        <v>867</v>
      </c>
      <c r="E15" s="259" t="s">
        <v>755</v>
      </c>
      <c r="F15" s="63"/>
      <c r="G15" s="64"/>
      <c r="H15" s="64"/>
      <c r="I15" s="64"/>
      <c r="J15" s="49"/>
      <c r="K15" s="235" t="s">
        <v>672</v>
      </c>
      <c r="L15" s="235" t="s">
        <v>755</v>
      </c>
      <c r="M15" s="235" t="s">
        <v>672</v>
      </c>
      <c r="N15" s="235" t="s">
        <v>674</v>
      </c>
      <c r="O15" s="299">
        <v>0.115</v>
      </c>
      <c r="P15" s="235" t="str">
        <f>IF(ISBLANK(O15),"",IF(O15=0,"Baja",IF(OR(O15&gt;=10%,ISNUMBER(SEARCH("Política",N15))),"Alta","Media")))</f>
        <v>Alta</v>
      </c>
      <c r="Q15" s="235" t="s">
        <v>675</v>
      </c>
    </row>
    <row r="16" spans="1:17" ht="30">
      <c r="A16" s="302" t="s">
        <v>554</v>
      </c>
      <c r="B16" s="302" t="s">
        <v>341</v>
      </c>
      <c r="C16" s="231" t="s">
        <v>342</v>
      </c>
      <c r="D16" s="206" t="s">
        <v>867</v>
      </c>
      <c r="E16"/>
      <c r="F16" s="371"/>
      <c r="G16" s="372"/>
      <c r="H16" s="372"/>
      <c r="I16" s="372"/>
      <c r="J16" s="49"/>
      <c r="K16" s="235" t="s">
        <v>672</v>
      </c>
      <c r="L16" s="235" t="s">
        <v>755</v>
      </c>
      <c r="M16" s="235" t="s">
        <v>672</v>
      </c>
      <c r="N16" s="235" t="s">
        <v>677</v>
      </c>
      <c r="O16" s="299">
        <v>0.115</v>
      </c>
      <c r="P16" s="235" t="str">
        <f>IF(ISBLANK(O16),"",IF(O16=0,"Baja",IF(OR(O16&gt;=10%,ISNUMBER(SEARCH("Política",N16))),"Alta","Media")))</f>
        <v>Alta</v>
      </c>
      <c r="Q16" s="235" t="s">
        <v>675</v>
      </c>
    </row>
    <row r="17" spans="1:17" ht="30">
      <c r="A17" s="303"/>
      <c r="B17" s="303"/>
      <c r="C17" s="268" t="s">
        <v>305</v>
      </c>
      <c r="D17" s="56" t="s">
        <v>868</v>
      </c>
      <c r="E17" s="262"/>
      <c r="F17" s="67"/>
      <c r="G17" s="373"/>
      <c r="H17" s="374"/>
      <c r="I17" s="374"/>
      <c r="J17" s="49"/>
      <c r="K17" s="235" t="s">
        <v>672</v>
      </c>
      <c r="L17" s="235" t="s">
        <v>755</v>
      </c>
      <c r="M17" s="235" t="s">
        <v>672</v>
      </c>
      <c r="N17" s="235" t="s">
        <v>677</v>
      </c>
      <c r="O17" s="299"/>
      <c r="P17" s="235"/>
      <c r="Q17" s="235"/>
    </row>
    <row r="18" spans="1:17" ht="30">
      <c r="A18" s="304"/>
      <c r="B18" s="304"/>
      <c r="C18" s="270" t="s">
        <v>343</v>
      </c>
      <c r="D18" s="56" t="s">
        <v>869</v>
      </c>
      <c r="E18" s="265"/>
      <c r="F18" s="68"/>
      <c r="G18" s="375"/>
      <c r="H18" s="376"/>
      <c r="I18" s="376"/>
      <c r="J18" s="49"/>
      <c r="K18" s="235" t="s">
        <v>672</v>
      </c>
      <c r="L18" s="235" t="s">
        <v>755</v>
      </c>
      <c r="M18" s="235" t="s">
        <v>672</v>
      </c>
      <c r="N18" s="235" t="s">
        <v>677</v>
      </c>
      <c r="O18" s="299"/>
      <c r="P18" s="235"/>
      <c r="Q18" s="235"/>
    </row>
    <row r="19" spans="1:17" ht="60">
      <c r="A19" s="47" t="s">
        <v>553</v>
      </c>
      <c r="B19" s="25">
        <v>10.6</v>
      </c>
      <c r="C19" s="232" t="s">
        <v>344</v>
      </c>
      <c r="D19" s="250" t="s">
        <v>870</v>
      </c>
      <c r="E19" s="259" t="s">
        <v>780</v>
      </c>
      <c r="F19" s="63"/>
      <c r="G19" s="64"/>
      <c r="H19" s="64"/>
      <c r="I19" s="64"/>
      <c r="J19" s="49"/>
      <c r="K19" s="235" t="s">
        <v>672</v>
      </c>
      <c r="L19" s="235" t="s">
        <v>714</v>
      </c>
      <c r="M19" s="235" t="s">
        <v>781</v>
      </c>
      <c r="N19" s="235" t="s">
        <v>674</v>
      </c>
      <c r="O19" s="299">
        <v>0.19</v>
      </c>
      <c r="P19" s="235" t="str">
        <f t="shared" ref="P19:P28" si="0">IF(ISBLANK(O19),"",IF(O19=0,"Baja",IF(OR(O19&gt;=10%,ISNUMBER(SEARCH("Política",N19))),"Alta","Media")))</f>
        <v>Alta</v>
      </c>
      <c r="Q19" s="235" t="s">
        <v>675</v>
      </c>
    </row>
    <row r="20" spans="1:17" ht="96" customHeight="1">
      <c r="A20" s="83" t="s">
        <v>554</v>
      </c>
      <c r="B20" s="50" t="s">
        <v>345</v>
      </c>
      <c r="C20" s="238" t="s">
        <v>871</v>
      </c>
      <c r="D20" s="56" t="s">
        <v>872</v>
      </c>
      <c r="E20" s="259" t="s">
        <v>873</v>
      </c>
      <c r="F20" s="54"/>
      <c r="G20" s="53"/>
      <c r="H20" s="71"/>
      <c r="I20" s="170"/>
      <c r="J20" s="49"/>
      <c r="K20" s="235" t="s">
        <v>672</v>
      </c>
      <c r="L20" s="235" t="s">
        <v>714</v>
      </c>
      <c r="M20" s="235" t="s">
        <v>874</v>
      </c>
      <c r="N20" s="235" t="s">
        <v>716</v>
      </c>
      <c r="O20" s="299">
        <v>1.9E-2</v>
      </c>
      <c r="P20" s="235" t="str">
        <f t="shared" si="0"/>
        <v>Alta</v>
      </c>
      <c r="Q20" s="235" t="s">
        <v>675</v>
      </c>
    </row>
    <row r="21" spans="1:17" ht="107.25" customHeight="1">
      <c r="A21" s="83" t="s">
        <v>554</v>
      </c>
      <c r="B21" s="50" t="s">
        <v>347</v>
      </c>
      <c r="C21" s="249" t="s">
        <v>875</v>
      </c>
      <c r="D21" s="169" t="s">
        <v>876</v>
      </c>
      <c r="E21" s="271" t="s">
        <v>672</v>
      </c>
      <c r="F21" s="54"/>
      <c r="G21" s="53"/>
      <c r="H21" s="71"/>
      <c r="I21" s="170"/>
      <c r="J21" s="49"/>
      <c r="K21" s="235" t="s">
        <v>672</v>
      </c>
      <c r="L21" s="235" t="s">
        <v>672</v>
      </c>
      <c r="M21" s="235" t="s">
        <v>877</v>
      </c>
      <c r="N21" s="235" t="s">
        <v>686</v>
      </c>
      <c r="O21" s="299">
        <v>1.9E-2</v>
      </c>
      <c r="P21" s="235" t="str">
        <f t="shared" si="0"/>
        <v>Media</v>
      </c>
      <c r="Q21" s="235" t="s">
        <v>675</v>
      </c>
    </row>
    <row r="22" spans="1:17" ht="76.5" customHeight="1">
      <c r="A22" s="83" t="s">
        <v>554</v>
      </c>
      <c r="B22" s="50" t="s">
        <v>349</v>
      </c>
      <c r="C22" s="249" t="s">
        <v>878</v>
      </c>
      <c r="D22" s="56" t="s">
        <v>879</v>
      </c>
      <c r="E22" s="259" t="s">
        <v>880</v>
      </c>
      <c r="F22" s="54"/>
      <c r="G22" s="53"/>
      <c r="H22" s="71"/>
      <c r="I22" s="170"/>
      <c r="J22" s="49"/>
      <c r="K22" s="235" t="s">
        <v>672</v>
      </c>
      <c r="L22" s="235" t="s">
        <v>714</v>
      </c>
      <c r="M22" s="235" t="s">
        <v>881</v>
      </c>
      <c r="N22" s="235" t="s">
        <v>686</v>
      </c>
      <c r="O22" s="299">
        <v>1.9E-2</v>
      </c>
      <c r="P22" s="235" t="str">
        <f t="shared" si="0"/>
        <v>Media</v>
      </c>
      <c r="Q22" s="235" t="s">
        <v>675</v>
      </c>
    </row>
    <row r="23" spans="1:17" ht="60" customHeight="1">
      <c r="A23" s="83" t="s">
        <v>554</v>
      </c>
      <c r="B23" s="50" t="s">
        <v>351</v>
      </c>
      <c r="C23" s="238" t="s">
        <v>882</v>
      </c>
      <c r="D23" s="56" t="s">
        <v>883</v>
      </c>
      <c r="E23" s="259" t="s">
        <v>884</v>
      </c>
      <c r="F23" s="54"/>
      <c r="G23" s="53"/>
      <c r="H23" s="71"/>
      <c r="I23" s="170"/>
      <c r="J23" s="49"/>
      <c r="K23" s="235" t="s">
        <v>672</v>
      </c>
      <c r="L23" s="235" t="s">
        <v>885</v>
      </c>
      <c r="M23" s="235" t="s">
        <v>886</v>
      </c>
      <c r="N23" s="235" t="s">
        <v>716</v>
      </c>
      <c r="O23" s="299">
        <v>9.4999999999999998E-3</v>
      </c>
      <c r="P23" s="235" t="str">
        <f t="shared" si="0"/>
        <v>Alta</v>
      </c>
      <c r="Q23" s="235" t="s">
        <v>675</v>
      </c>
    </row>
    <row r="24" spans="1:17" ht="123.75" customHeight="1">
      <c r="A24" s="83" t="s">
        <v>554</v>
      </c>
      <c r="B24" s="50" t="s">
        <v>353</v>
      </c>
      <c r="C24" s="238" t="s">
        <v>887</v>
      </c>
      <c r="D24" s="56" t="s">
        <v>888</v>
      </c>
      <c r="E24" s="259" t="s">
        <v>889</v>
      </c>
      <c r="F24" s="54"/>
      <c r="G24" s="53"/>
      <c r="H24" s="71"/>
      <c r="I24" s="170"/>
      <c r="J24" s="49"/>
      <c r="K24" s="235" t="s">
        <v>672</v>
      </c>
      <c r="L24" s="235" t="s">
        <v>889</v>
      </c>
      <c r="M24" s="235"/>
      <c r="N24" s="235" t="s">
        <v>686</v>
      </c>
      <c r="O24" s="299">
        <v>1.9E-2</v>
      </c>
      <c r="P24" s="235" t="str">
        <f t="shared" si="0"/>
        <v>Media</v>
      </c>
      <c r="Q24" s="235" t="s">
        <v>675</v>
      </c>
    </row>
    <row r="25" spans="1:17" ht="87" customHeight="1">
      <c r="A25" s="83" t="s">
        <v>554</v>
      </c>
      <c r="B25" s="50" t="s">
        <v>355</v>
      </c>
      <c r="C25" s="238" t="s">
        <v>890</v>
      </c>
      <c r="D25" s="56" t="s">
        <v>891</v>
      </c>
      <c r="E25" s="262" t="s">
        <v>892</v>
      </c>
      <c r="F25" s="54"/>
      <c r="G25" s="53"/>
      <c r="H25" s="71"/>
      <c r="I25" s="170"/>
      <c r="J25" s="49"/>
      <c r="K25" s="235" t="s">
        <v>672</v>
      </c>
      <c r="L25" s="235" t="s">
        <v>893</v>
      </c>
      <c r="M25" s="235" t="s">
        <v>894</v>
      </c>
      <c r="N25" s="235" t="s">
        <v>686</v>
      </c>
      <c r="O25" s="299">
        <v>1.9E-2</v>
      </c>
      <c r="P25" s="235" t="str">
        <f t="shared" si="0"/>
        <v>Media</v>
      </c>
      <c r="Q25" s="235" t="s">
        <v>675</v>
      </c>
    </row>
    <row r="26" spans="1:17" ht="48" customHeight="1">
      <c r="A26" s="83" t="s">
        <v>554</v>
      </c>
      <c r="B26" s="50" t="s">
        <v>357</v>
      </c>
      <c r="C26" s="238" t="s">
        <v>895</v>
      </c>
      <c r="D26" s="56" t="s">
        <v>896</v>
      </c>
      <c r="E26" s="262" t="s">
        <v>897</v>
      </c>
      <c r="F26" s="54"/>
      <c r="G26" s="53"/>
      <c r="H26" s="71"/>
      <c r="I26" s="170"/>
      <c r="J26" s="49"/>
      <c r="K26" s="235" t="s">
        <v>672</v>
      </c>
      <c r="L26" s="235" t="s">
        <v>897</v>
      </c>
      <c r="M26" s="235"/>
      <c r="N26" s="235" t="s">
        <v>686</v>
      </c>
      <c r="O26" s="299">
        <v>1.9E-2</v>
      </c>
      <c r="P26" s="235" t="str">
        <f t="shared" si="0"/>
        <v>Media</v>
      </c>
      <c r="Q26" s="235" t="s">
        <v>675</v>
      </c>
    </row>
    <row r="27" spans="1:17" ht="99.75" customHeight="1">
      <c r="A27" s="83" t="s">
        <v>554</v>
      </c>
      <c r="B27" s="50" t="s">
        <v>359</v>
      </c>
      <c r="C27" s="238" t="s">
        <v>898</v>
      </c>
      <c r="D27" s="242" t="s">
        <v>899</v>
      </c>
      <c r="E27" s="262" t="s">
        <v>900</v>
      </c>
      <c r="F27" s="54"/>
      <c r="G27" s="53"/>
      <c r="H27" s="71"/>
      <c r="I27" s="170"/>
      <c r="J27" s="49"/>
      <c r="K27" s="235" t="s">
        <v>672</v>
      </c>
      <c r="L27" s="235" t="s">
        <v>893</v>
      </c>
      <c r="M27" s="235" t="s">
        <v>901</v>
      </c>
      <c r="N27" s="235" t="s">
        <v>686</v>
      </c>
      <c r="O27" s="299">
        <v>1.9E-2</v>
      </c>
      <c r="P27" s="235" t="str">
        <f t="shared" si="0"/>
        <v>Media</v>
      </c>
      <c r="Q27" s="235" t="s">
        <v>675</v>
      </c>
    </row>
    <row r="28" spans="1:17" ht="100.5" customHeight="1">
      <c r="A28" s="348" t="s">
        <v>554</v>
      </c>
      <c r="B28" s="302" t="s">
        <v>361</v>
      </c>
      <c r="C28" s="238" t="s">
        <v>902</v>
      </c>
      <c r="D28" s="242" t="s">
        <v>903</v>
      </c>
      <c r="E28" s="262" t="s">
        <v>900</v>
      </c>
      <c r="F28" s="54"/>
      <c r="G28" s="53"/>
      <c r="H28" s="305"/>
      <c r="I28" s="306"/>
      <c r="J28" s="49"/>
      <c r="K28" s="235" t="s">
        <v>672</v>
      </c>
      <c r="L28" s="235" t="s">
        <v>893</v>
      </c>
      <c r="M28" s="235" t="s">
        <v>901</v>
      </c>
      <c r="N28" s="235" t="s">
        <v>686</v>
      </c>
      <c r="O28" s="299">
        <v>1.9E-2</v>
      </c>
      <c r="P28" s="235" t="str">
        <f t="shared" si="0"/>
        <v>Media</v>
      </c>
      <c r="Q28" s="235" t="s">
        <v>675</v>
      </c>
    </row>
    <row r="29" spans="1:17" ht="25.5" customHeight="1">
      <c r="A29" s="349"/>
      <c r="B29" s="303"/>
      <c r="C29" s="238" t="s">
        <v>740</v>
      </c>
      <c r="D29" s="206" t="s">
        <v>741</v>
      </c>
      <c r="E29" s="263"/>
      <c r="F29" s="351"/>
      <c r="G29" s="53"/>
      <c r="H29" s="308"/>
      <c r="I29" s="311"/>
      <c r="J29" s="49"/>
      <c r="K29" s="235" t="s">
        <v>672</v>
      </c>
      <c r="L29" s="235" t="s">
        <v>893</v>
      </c>
      <c r="M29" s="235" t="s">
        <v>901</v>
      </c>
      <c r="N29" s="235" t="s">
        <v>686</v>
      </c>
      <c r="O29" s="299"/>
      <c r="P29" s="235"/>
      <c r="Q29" s="235"/>
    </row>
    <row r="30" spans="1:17" ht="20.45" customHeight="1">
      <c r="A30" s="350"/>
      <c r="B30" s="304"/>
      <c r="C30" s="238" t="s">
        <v>904</v>
      </c>
      <c r="D30" s="206" t="s">
        <v>905</v>
      </c>
      <c r="E30" s="264"/>
      <c r="F30" s="360"/>
      <c r="G30" s="53"/>
      <c r="H30" s="310"/>
      <c r="I30" s="313"/>
      <c r="J30" s="49"/>
      <c r="K30" s="235" t="s">
        <v>672</v>
      </c>
      <c r="L30" s="235" t="s">
        <v>893</v>
      </c>
      <c r="M30" s="235" t="s">
        <v>901</v>
      </c>
      <c r="N30" s="235" t="s">
        <v>686</v>
      </c>
      <c r="O30" s="299"/>
      <c r="P30" s="235"/>
      <c r="Q30" s="235"/>
    </row>
    <row r="31" spans="1:17" ht="110.25" customHeight="1">
      <c r="A31" s="50" t="s">
        <v>554</v>
      </c>
      <c r="B31" s="50" t="s">
        <v>363</v>
      </c>
      <c r="C31" s="238" t="s">
        <v>906</v>
      </c>
      <c r="D31" s="242" t="s">
        <v>907</v>
      </c>
      <c r="E31" s="262" t="s">
        <v>908</v>
      </c>
      <c r="F31" s="54"/>
      <c r="G31" s="53"/>
      <c r="H31" s="71"/>
      <c r="I31" s="170"/>
      <c r="J31" s="49"/>
      <c r="K31" s="235" t="s">
        <v>672</v>
      </c>
      <c r="L31" s="235" t="s">
        <v>755</v>
      </c>
      <c r="M31" s="235" t="s">
        <v>909</v>
      </c>
      <c r="N31" s="235" t="s">
        <v>686</v>
      </c>
      <c r="O31" s="299">
        <v>1.9E-2</v>
      </c>
      <c r="P31" s="235" t="str">
        <f>IF(ISBLANK(O31),"",IF(O31=0,"Baja",IF(OR(O31&gt;=10%,ISNUMBER(SEARCH("Política",N31))),"Alta","Media")))</f>
        <v>Media</v>
      </c>
      <c r="Q31" s="235" t="s">
        <v>675</v>
      </c>
    </row>
    <row r="32" spans="1:17" ht="45">
      <c r="A32" s="50" t="s">
        <v>554</v>
      </c>
      <c r="B32" s="50" t="s">
        <v>365</v>
      </c>
      <c r="C32" s="238" t="s">
        <v>910</v>
      </c>
      <c r="D32" s="242" t="s">
        <v>911</v>
      </c>
      <c r="E32" s="259" t="s">
        <v>912</v>
      </c>
      <c r="F32" s="49"/>
      <c r="G32" s="49"/>
      <c r="H32" s="49"/>
      <c r="I32" s="272"/>
      <c r="J32" s="49"/>
      <c r="K32" s="235" t="s">
        <v>672</v>
      </c>
      <c r="L32" s="235" t="s">
        <v>755</v>
      </c>
      <c r="M32" s="235" t="s">
        <v>913</v>
      </c>
      <c r="N32" s="235" t="s">
        <v>716</v>
      </c>
      <c r="O32" s="299">
        <v>9.4999999999999998E-3</v>
      </c>
      <c r="P32" s="235" t="str">
        <f>IF(ISBLANK(O32),"",IF(O32=0,"Baja",IF(OR(O32&gt;=10%,ISNUMBER(SEARCH("Política",N32))),"Alta","Media")))</f>
        <v>Alta</v>
      </c>
      <c r="Q32" s="235" t="s">
        <v>675</v>
      </c>
    </row>
  </sheetData>
  <mergeCells count="24">
    <mergeCell ref="G5:I6"/>
    <mergeCell ref="G17:I18"/>
    <mergeCell ref="H28:I28"/>
    <mergeCell ref="A1:J1"/>
    <mergeCell ref="F4:I4"/>
    <mergeCell ref="G9:I10"/>
    <mergeCell ref="F12:I12"/>
    <mergeCell ref="G13:I14"/>
    <mergeCell ref="H29:H30"/>
    <mergeCell ref="I29:I30"/>
    <mergeCell ref="K1:Q1"/>
    <mergeCell ref="F29:F30"/>
    <mergeCell ref="A4:A6"/>
    <mergeCell ref="B4:B6"/>
    <mergeCell ref="A8:A10"/>
    <mergeCell ref="B8:B10"/>
    <mergeCell ref="A12:A14"/>
    <mergeCell ref="B12:B14"/>
    <mergeCell ref="A16:A18"/>
    <mergeCell ref="B16:B18"/>
    <mergeCell ref="A28:A30"/>
    <mergeCell ref="B28:B30"/>
    <mergeCell ref="F16:I16"/>
    <mergeCell ref="F8:I8"/>
  </mergeCells>
  <conditionalFormatting sqref="P3:P32">
    <cfRule type="expression" dxfId="20" priority="5">
      <formula>P3="Alta"</formula>
    </cfRule>
    <cfRule type="expression" dxfId="19" priority="6">
      <formula>P3="Media"</formula>
    </cfRule>
    <cfRule type="expression" dxfId="18" priority="7">
      <formula>P3="Baja"</formula>
    </cfRule>
  </conditionalFormatting>
  <conditionalFormatting sqref="Q3:Q32">
    <cfRule type="expression" dxfId="17" priority="1">
      <formula>Q3="Pendiente"</formula>
    </cfRule>
    <cfRule type="expression" dxfId="16" priority="2">
      <formula>Q3="En gestión"</formula>
    </cfRule>
    <cfRule type="expression" dxfId="15" priority="3">
      <formula>Q3="Por validar"</formula>
    </cfRule>
    <cfRule type="expression" dxfId="14" priority="4">
      <formula>Q3="Completo"</formula>
    </cfRule>
  </conditionalFormatting>
  <dataValidations count="1">
    <dataValidation type="list" sqref="Q3:Q32" xr:uid="{00000000-0002-0000-0B00-000000000000}">
      <formula1>"Pendiente,En gestión,Por validar,Completo"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7"/>
  <sheetViews>
    <sheetView workbookViewId="0"/>
  </sheetViews>
  <sheetFormatPr defaultColWidth="8.85546875" defaultRowHeight="15"/>
  <cols>
    <col min="1" max="1" width="9.140625" style="111"/>
    <col min="2" max="2" width="17.85546875" style="111" customWidth="1"/>
    <col min="3" max="3" width="83.85546875" customWidth="1"/>
    <col min="4" max="4" width="22.7109375" customWidth="1"/>
  </cols>
  <sheetData>
    <row r="1" spans="1:7" ht="14.45" customHeight="1">
      <c r="A1" s="399" t="s">
        <v>914</v>
      </c>
      <c r="B1" s="399"/>
      <c r="C1" s="399"/>
      <c r="D1" s="399"/>
      <c r="E1" s="399"/>
      <c r="F1" s="399"/>
      <c r="G1" s="399"/>
    </row>
    <row r="2" spans="1:7" ht="45" customHeight="1">
      <c r="A2" s="118" t="s">
        <v>548</v>
      </c>
      <c r="B2" s="147" t="s">
        <v>0</v>
      </c>
      <c r="C2" s="147" t="s">
        <v>1</v>
      </c>
      <c r="D2" s="119" t="s">
        <v>549</v>
      </c>
      <c r="E2" s="119" t="s">
        <v>550</v>
      </c>
      <c r="F2" s="119" t="s">
        <v>551</v>
      </c>
      <c r="G2" s="119" t="s">
        <v>552</v>
      </c>
    </row>
    <row r="3" spans="1:7">
      <c r="A3" s="47" t="s">
        <v>553</v>
      </c>
      <c r="B3" s="47">
        <v>11.2</v>
      </c>
      <c r="C3" s="79" t="s">
        <v>368</v>
      </c>
      <c r="D3" s="63"/>
      <c r="E3" s="64"/>
      <c r="F3" s="64"/>
      <c r="G3" s="64"/>
    </row>
    <row r="4" spans="1:7" ht="63" customHeight="1">
      <c r="A4" s="336" t="s">
        <v>554</v>
      </c>
      <c r="B4" s="336" t="s">
        <v>369</v>
      </c>
      <c r="C4" s="56" t="s">
        <v>915</v>
      </c>
      <c r="D4" s="54"/>
      <c r="E4" s="53"/>
      <c r="F4" s="305"/>
      <c r="G4" s="306"/>
    </row>
    <row r="5" spans="1:7" ht="18" customHeight="1">
      <c r="A5" s="336"/>
      <c r="B5" s="336"/>
      <c r="C5" s="56" t="s">
        <v>916</v>
      </c>
      <c r="D5" s="351"/>
      <c r="E5" s="53"/>
      <c r="F5" s="308"/>
      <c r="G5" s="308"/>
    </row>
    <row r="6" spans="1:7" ht="18" customHeight="1">
      <c r="A6" s="336"/>
      <c r="B6" s="336"/>
      <c r="C6" s="56" t="s">
        <v>917</v>
      </c>
      <c r="D6" s="360"/>
      <c r="E6" s="53"/>
      <c r="F6" s="309"/>
      <c r="G6" s="309"/>
    </row>
    <row r="7" spans="1:7" ht="20.45" customHeight="1">
      <c r="A7" s="336"/>
      <c r="B7" s="336"/>
      <c r="C7" s="56" t="s">
        <v>918</v>
      </c>
      <c r="D7" s="360"/>
      <c r="E7" s="53"/>
      <c r="F7" s="310"/>
      <c r="G7" s="310"/>
    </row>
    <row r="8" spans="1:7" ht="50.45" customHeight="1">
      <c r="A8" s="336" t="s">
        <v>554</v>
      </c>
      <c r="B8" s="336" t="s">
        <v>371</v>
      </c>
      <c r="C8" s="56" t="s">
        <v>919</v>
      </c>
      <c r="D8" s="54"/>
      <c r="E8" s="53"/>
      <c r="F8" s="305"/>
      <c r="G8" s="306"/>
    </row>
    <row r="9" spans="1:7" ht="18" customHeight="1">
      <c r="A9" s="336"/>
      <c r="B9" s="336"/>
      <c r="C9" s="56" t="s">
        <v>920</v>
      </c>
      <c r="D9" s="351"/>
      <c r="E9" s="53"/>
      <c r="F9" s="308"/>
      <c r="G9" s="308"/>
    </row>
    <row r="10" spans="1:7" ht="18" customHeight="1">
      <c r="A10" s="336"/>
      <c r="B10" s="336"/>
      <c r="C10" s="56" t="s">
        <v>921</v>
      </c>
      <c r="D10" s="360"/>
      <c r="E10" s="53"/>
      <c r="F10" s="309"/>
      <c r="G10" s="309"/>
    </row>
    <row r="11" spans="1:7" ht="20.45" customHeight="1">
      <c r="A11" s="336"/>
      <c r="B11" s="336"/>
      <c r="C11" s="56" t="s">
        <v>922</v>
      </c>
      <c r="D11" s="360"/>
      <c r="E11" s="53"/>
      <c r="F11" s="310"/>
      <c r="G11" s="310"/>
    </row>
    <row r="12" spans="1:7" ht="51" customHeight="1">
      <c r="A12" s="336" t="s">
        <v>554</v>
      </c>
      <c r="B12" s="336" t="s">
        <v>373</v>
      </c>
      <c r="C12" s="56" t="s">
        <v>923</v>
      </c>
      <c r="D12" s="54"/>
      <c r="E12" s="53"/>
      <c r="F12" s="305"/>
      <c r="G12" s="306"/>
    </row>
    <row r="13" spans="1:7" ht="18" customHeight="1">
      <c r="A13" s="336"/>
      <c r="B13" s="336"/>
      <c r="C13" s="20" t="s">
        <v>924</v>
      </c>
      <c r="D13" s="351"/>
      <c r="E13" s="53"/>
      <c r="F13" s="308"/>
      <c r="G13" s="308"/>
    </row>
    <row r="14" spans="1:7" ht="18" customHeight="1">
      <c r="A14" s="336"/>
      <c r="B14" s="336"/>
      <c r="C14" s="56" t="s">
        <v>925</v>
      </c>
      <c r="D14" s="360"/>
      <c r="E14" s="53"/>
      <c r="F14" s="309"/>
      <c r="G14" s="309"/>
    </row>
    <row r="15" spans="1:7" ht="20.45" customHeight="1">
      <c r="A15" s="336"/>
      <c r="B15" s="336"/>
      <c r="C15" s="16" t="s">
        <v>918</v>
      </c>
      <c r="D15" s="360"/>
      <c r="E15" s="53"/>
      <c r="F15" s="310"/>
      <c r="G15" s="310"/>
    </row>
    <row r="16" spans="1:7" ht="38.1" customHeight="1">
      <c r="A16" s="333" t="s">
        <v>554</v>
      </c>
      <c r="B16" s="302" t="s">
        <v>375</v>
      </c>
      <c r="C16" s="56" t="s">
        <v>926</v>
      </c>
      <c r="D16" s="54"/>
      <c r="E16" s="53"/>
      <c r="F16" s="71"/>
      <c r="G16" s="71"/>
    </row>
    <row r="17" spans="1:7" ht="24" customHeight="1">
      <c r="A17" s="334"/>
      <c r="B17" s="303"/>
      <c r="C17" s="56" t="s">
        <v>927</v>
      </c>
      <c r="D17" s="54"/>
      <c r="E17" s="53"/>
      <c r="F17" s="170"/>
      <c r="G17" s="171"/>
    </row>
    <row r="18" spans="1:7" ht="22.5" customHeight="1">
      <c r="A18" s="334"/>
      <c r="B18" s="303"/>
      <c r="C18" s="56" t="s">
        <v>928</v>
      </c>
      <c r="D18" s="54"/>
      <c r="E18" s="53"/>
      <c r="F18" s="170"/>
      <c r="G18" s="171"/>
    </row>
    <row r="19" spans="1:7" ht="18.75" customHeight="1">
      <c r="A19" s="335"/>
      <c r="B19" s="304"/>
      <c r="C19" s="56" t="s">
        <v>918</v>
      </c>
      <c r="D19" s="54"/>
      <c r="E19" s="53"/>
      <c r="F19" s="170"/>
      <c r="G19" s="171"/>
    </row>
    <row r="20" spans="1:7" ht="65.099999999999994" customHeight="1">
      <c r="A20" s="336" t="s">
        <v>554</v>
      </c>
      <c r="B20" s="336" t="s">
        <v>377</v>
      </c>
      <c r="C20" s="56" t="s">
        <v>929</v>
      </c>
      <c r="D20" s="54"/>
      <c r="E20" s="53"/>
      <c r="F20" s="305"/>
      <c r="G20" s="306"/>
    </row>
    <row r="21" spans="1:7" ht="18" customHeight="1">
      <c r="A21" s="336"/>
      <c r="B21" s="336"/>
      <c r="C21" s="56" t="s">
        <v>930</v>
      </c>
      <c r="D21" s="351"/>
      <c r="E21" s="53"/>
      <c r="F21" s="308"/>
      <c r="G21" s="308"/>
    </row>
    <row r="22" spans="1:7" ht="18" customHeight="1">
      <c r="A22" s="336"/>
      <c r="B22" s="336"/>
      <c r="C22" s="56" t="s">
        <v>931</v>
      </c>
      <c r="D22" s="360"/>
      <c r="E22" s="53"/>
      <c r="F22" s="309"/>
      <c r="G22" s="309"/>
    </row>
    <row r="23" spans="1:7" ht="20.45" customHeight="1">
      <c r="A23" s="336"/>
      <c r="B23" s="336"/>
      <c r="C23" s="56" t="s">
        <v>932</v>
      </c>
      <c r="D23" s="360"/>
      <c r="E23" s="53"/>
      <c r="F23" s="310"/>
      <c r="G23" s="310"/>
    </row>
    <row r="24" spans="1:7" ht="59.1" customHeight="1">
      <c r="A24" s="333" t="s">
        <v>554</v>
      </c>
      <c r="B24" s="302" t="s">
        <v>379</v>
      </c>
      <c r="C24" s="56" t="s">
        <v>933</v>
      </c>
      <c r="D24" s="54"/>
      <c r="E24" s="53"/>
      <c r="F24" s="71"/>
      <c r="G24" s="71"/>
    </row>
    <row r="25" spans="1:7" ht="17.25" customHeight="1">
      <c r="A25" s="334"/>
      <c r="B25" s="303"/>
      <c r="C25" s="439" t="s">
        <v>934</v>
      </c>
      <c r="D25" s="100"/>
      <c r="E25" s="173"/>
      <c r="F25" s="171"/>
      <c r="G25" s="171"/>
    </row>
    <row r="26" spans="1:7" ht="17.25" customHeight="1">
      <c r="A26" s="334"/>
      <c r="B26" s="303"/>
      <c r="C26" s="439" t="s">
        <v>935</v>
      </c>
      <c r="D26" s="100"/>
      <c r="E26" s="173"/>
      <c r="F26" s="171"/>
      <c r="G26" s="171"/>
    </row>
    <row r="27" spans="1:7" ht="17.25" customHeight="1">
      <c r="A27" s="335"/>
      <c r="B27" s="304"/>
      <c r="C27" s="439" t="s">
        <v>936</v>
      </c>
      <c r="D27" s="100"/>
      <c r="E27" s="173"/>
      <c r="F27" s="171"/>
      <c r="G27" s="171"/>
    </row>
    <row r="28" spans="1:7">
      <c r="A28" s="47" t="s">
        <v>553</v>
      </c>
      <c r="B28" s="47">
        <v>11.3</v>
      </c>
      <c r="C28" s="62" t="s">
        <v>381</v>
      </c>
      <c r="D28" s="63"/>
      <c r="E28" s="64"/>
      <c r="F28" s="64"/>
      <c r="G28" s="64"/>
    </row>
    <row r="29" spans="1:7">
      <c r="A29" s="336" t="s">
        <v>554</v>
      </c>
      <c r="B29" s="336" t="s">
        <v>382</v>
      </c>
      <c r="C29" s="78" t="s">
        <v>383</v>
      </c>
      <c r="D29" s="371"/>
      <c r="E29" s="372"/>
      <c r="F29" s="372"/>
      <c r="G29" s="372"/>
    </row>
    <row r="30" spans="1:7">
      <c r="A30" s="336"/>
      <c r="B30" s="336"/>
      <c r="C30" s="90" t="s">
        <v>306</v>
      </c>
      <c r="D30" s="67"/>
      <c r="E30" s="373"/>
      <c r="F30" s="374"/>
      <c r="G30" s="374"/>
    </row>
    <row r="31" spans="1:7">
      <c r="A31" s="336"/>
      <c r="B31" s="336"/>
      <c r="C31" s="90" t="s">
        <v>384</v>
      </c>
      <c r="D31" s="68"/>
      <c r="E31" s="375"/>
      <c r="F31" s="376"/>
      <c r="G31" s="376"/>
    </row>
    <row r="32" spans="1:7">
      <c r="A32" s="47" t="s">
        <v>553</v>
      </c>
      <c r="B32" s="47">
        <v>11.4</v>
      </c>
      <c r="C32" s="62" t="s">
        <v>385</v>
      </c>
      <c r="D32" s="63"/>
      <c r="E32" s="64"/>
      <c r="F32" s="64"/>
      <c r="G32" s="64"/>
    </row>
    <row r="33" spans="1:7" ht="72.95" customHeight="1">
      <c r="A33" s="50" t="s">
        <v>554</v>
      </c>
      <c r="B33" s="50" t="s">
        <v>386</v>
      </c>
      <c r="C33" s="56" t="s">
        <v>937</v>
      </c>
      <c r="D33" s="54"/>
      <c r="E33" s="53"/>
      <c r="F33" s="71"/>
      <c r="G33" s="71"/>
    </row>
    <row r="34" spans="1:7" ht="42" customHeight="1">
      <c r="A34" s="50" t="s">
        <v>554</v>
      </c>
      <c r="B34" s="50" t="s">
        <v>388</v>
      </c>
      <c r="C34" s="56" t="s">
        <v>938</v>
      </c>
      <c r="D34" s="54"/>
      <c r="E34" s="53"/>
      <c r="F34" s="71"/>
      <c r="G34" s="71"/>
    </row>
    <row r="35" spans="1:7" ht="55.5" customHeight="1">
      <c r="A35" s="50" t="s">
        <v>554</v>
      </c>
      <c r="B35" s="50" t="s">
        <v>390</v>
      </c>
      <c r="C35" s="56" t="s">
        <v>939</v>
      </c>
      <c r="D35" s="54"/>
      <c r="E35" s="53"/>
      <c r="F35" s="71"/>
      <c r="G35" s="71"/>
    </row>
    <row r="36" spans="1:7" ht="38.1" customHeight="1">
      <c r="A36" s="302" t="s">
        <v>554</v>
      </c>
      <c r="B36" s="302" t="s">
        <v>392</v>
      </c>
      <c r="C36" s="56" t="s">
        <v>940</v>
      </c>
      <c r="D36" s="54"/>
      <c r="E36" s="53"/>
      <c r="F36" s="71"/>
      <c r="G36" s="71"/>
    </row>
    <row r="37" spans="1:7" ht="18.95" customHeight="1">
      <c r="A37" s="303"/>
      <c r="B37" s="303"/>
      <c r="C37" s="56" t="s">
        <v>941</v>
      </c>
      <c r="D37" s="54"/>
      <c r="E37" s="53"/>
      <c r="F37" s="71"/>
      <c r="G37" s="71"/>
    </row>
    <row r="38" spans="1:7" ht="18" customHeight="1">
      <c r="A38" s="303"/>
      <c r="B38" s="303"/>
      <c r="C38" s="56" t="s">
        <v>942</v>
      </c>
      <c r="D38" s="54"/>
      <c r="E38" s="53"/>
      <c r="F38" s="71"/>
      <c r="G38" s="71"/>
    </row>
    <row r="39" spans="1:7" ht="17.100000000000001" customHeight="1">
      <c r="A39" s="304"/>
      <c r="B39" s="304"/>
      <c r="C39" s="56" t="s">
        <v>943</v>
      </c>
      <c r="D39" s="54"/>
      <c r="E39" s="53"/>
      <c r="F39" s="71"/>
      <c r="G39" s="71"/>
    </row>
    <row r="40" spans="1:7" ht="41.1" customHeight="1">
      <c r="A40" s="333" t="s">
        <v>554</v>
      </c>
      <c r="B40" s="302" t="s">
        <v>394</v>
      </c>
      <c r="C40" s="56" t="s">
        <v>944</v>
      </c>
      <c r="D40" s="54"/>
      <c r="E40" s="53"/>
      <c r="F40" s="71"/>
      <c r="G40" s="71"/>
    </row>
    <row r="41" spans="1:7" ht="18" customHeight="1">
      <c r="A41" s="334"/>
      <c r="B41" s="303"/>
      <c r="C41" s="56" t="s">
        <v>941</v>
      </c>
      <c r="D41" s="54"/>
      <c r="E41" s="53"/>
      <c r="F41" s="71"/>
      <c r="G41" s="71"/>
    </row>
    <row r="42" spans="1:7" ht="18" customHeight="1">
      <c r="A42" s="334"/>
      <c r="B42" s="303"/>
      <c r="C42" s="56" t="s">
        <v>942</v>
      </c>
      <c r="D42" s="54"/>
      <c r="E42" s="53"/>
      <c r="F42" s="71"/>
      <c r="G42" s="71"/>
    </row>
    <row r="43" spans="1:7" ht="18" customHeight="1">
      <c r="A43" s="335"/>
      <c r="B43" s="304"/>
      <c r="C43" s="56" t="s">
        <v>943</v>
      </c>
      <c r="D43" s="54"/>
      <c r="E43" s="53"/>
      <c r="F43" s="71"/>
      <c r="G43" s="71"/>
    </row>
    <row r="44" spans="1:7" ht="43.5" customHeight="1">
      <c r="A44" s="50" t="s">
        <v>554</v>
      </c>
      <c r="B44" s="50" t="s">
        <v>396</v>
      </c>
      <c r="C44" s="56" t="s">
        <v>945</v>
      </c>
      <c r="D44" s="54"/>
      <c r="E44" s="53"/>
      <c r="F44" s="71"/>
      <c r="G44" s="71"/>
    </row>
    <row r="45" spans="1:7" ht="51.6" customHeight="1">
      <c r="A45" s="50" t="s">
        <v>554</v>
      </c>
      <c r="B45" s="50" t="s">
        <v>398</v>
      </c>
      <c r="C45" s="56" t="s">
        <v>946</v>
      </c>
      <c r="D45" s="54"/>
      <c r="E45" s="53"/>
      <c r="F45" s="71"/>
      <c r="G45" s="71"/>
    </row>
    <row r="46" spans="1:7" ht="45" customHeight="1">
      <c r="A46" s="50" t="s">
        <v>554</v>
      </c>
      <c r="B46" s="50" t="s">
        <v>400</v>
      </c>
      <c r="C46" s="56" t="s">
        <v>947</v>
      </c>
      <c r="D46" s="54"/>
      <c r="E46" s="53"/>
      <c r="F46" s="71"/>
      <c r="G46" s="71"/>
    </row>
    <row r="47" spans="1:7" ht="47.1" customHeight="1">
      <c r="A47" s="50" t="s">
        <v>554</v>
      </c>
      <c r="B47" s="50" t="s">
        <v>402</v>
      </c>
      <c r="C47" s="56" t="s">
        <v>948</v>
      </c>
      <c r="D47" s="54"/>
      <c r="E47" s="53"/>
      <c r="F47" s="71"/>
      <c r="G47" s="71"/>
    </row>
  </sheetData>
  <mergeCells count="37">
    <mergeCell ref="A40:A43"/>
    <mergeCell ref="B40:B43"/>
    <mergeCell ref="A29:A31"/>
    <mergeCell ref="B29:B31"/>
    <mergeCell ref="D29:G29"/>
    <mergeCell ref="E30:G31"/>
    <mergeCell ref="B36:B39"/>
    <mergeCell ref="A36:A39"/>
    <mergeCell ref="A24:A27"/>
    <mergeCell ref="B24:B27"/>
    <mergeCell ref="B20:B23"/>
    <mergeCell ref="F20:G20"/>
    <mergeCell ref="D21:D23"/>
    <mergeCell ref="F21:F23"/>
    <mergeCell ref="G21:G23"/>
    <mergeCell ref="A20:A23"/>
    <mergeCell ref="B12:B15"/>
    <mergeCell ref="F12:G12"/>
    <mergeCell ref="F9:F11"/>
    <mergeCell ref="F13:F15"/>
    <mergeCell ref="G13:G15"/>
    <mergeCell ref="A16:A19"/>
    <mergeCell ref="B16:B19"/>
    <mergeCell ref="D9:D11"/>
    <mergeCell ref="A1:G1"/>
    <mergeCell ref="A4:A7"/>
    <mergeCell ref="A8:A11"/>
    <mergeCell ref="A12:A15"/>
    <mergeCell ref="B4:B7"/>
    <mergeCell ref="F4:G4"/>
    <mergeCell ref="D5:D7"/>
    <mergeCell ref="F5:F7"/>
    <mergeCell ref="G5:G7"/>
    <mergeCell ref="D13:D15"/>
    <mergeCell ref="F8:G8"/>
    <mergeCell ref="G9:G11"/>
    <mergeCell ref="B8:B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3"/>
  <sheetViews>
    <sheetView workbookViewId="0"/>
  </sheetViews>
  <sheetFormatPr defaultColWidth="8.85546875" defaultRowHeight="15"/>
  <cols>
    <col min="2" max="2" width="19.85546875" customWidth="1"/>
    <col min="3" max="3" width="83.85546875" customWidth="1"/>
    <col min="4" max="4" width="20.42578125" customWidth="1"/>
  </cols>
  <sheetData>
    <row r="1" spans="1:7" ht="14.45" customHeight="1">
      <c r="A1" s="400" t="s">
        <v>949</v>
      </c>
      <c r="B1" s="400"/>
      <c r="C1" s="400"/>
      <c r="D1" s="400"/>
      <c r="E1" s="400"/>
      <c r="F1" s="400"/>
      <c r="G1" s="400"/>
    </row>
    <row r="2" spans="1:7" ht="39" customHeight="1">
      <c r="A2" s="146" t="s">
        <v>548</v>
      </c>
      <c r="B2" s="137" t="s">
        <v>0</v>
      </c>
      <c r="C2" s="138" t="s">
        <v>1</v>
      </c>
      <c r="D2" s="136" t="s">
        <v>549</v>
      </c>
      <c r="E2" s="136" t="s">
        <v>550</v>
      </c>
      <c r="F2" s="136" t="s">
        <v>551</v>
      </c>
      <c r="G2" s="136" t="s">
        <v>552</v>
      </c>
    </row>
    <row r="3" spans="1:7">
      <c r="A3" s="47" t="s">
        <v>553</v>
      </c>
      <c r="B3" s="47">
        <v>12.2</v>
      </c>
      <c r="C3" s="79" t="s">
        <v>405</v>
      </c>
      <c r="D3" s="80"/>
      <c r="E3" s="81"/>
      <c r="F3" s="81"/>
      <c r="G3" s="81"/>
    </row>
    <row r="4" spans="1:7" ht="45" customHeight="1">
      <c r="A4" s="50" t="s">
        <v>554</v>
      </c>
      <c r="B4" s="50" t="s">
        <v>406</v>
      </c>
      <c r="C4" s="56" t="s">
        <v>950</v>
      </c>
      <c r="D4" s="54"/>
      <c r="E4" s="53"/>
      <c r="F4" s="71"/>
      <c r="G4" s="71"/>
    </row>
    <row r="5" spans="1:7" ht="43.5" customHeight="1">
      <c r="A5" s="50" t="s">
        <v>554</v>
      </c>
      <c r="B5" s="50" t="s">
        <v>408</v>
      </c>
      <c r="C5" s="440" t="s">
        <v>951</v>
      </c>
      <c r="D5" s="85"/>
      <c r="E5" s="88"/>
      <c r="F5" s="95"/>
      <c r="G5" s="95"/>
    </row>
    <row r="6" spans="1:7" ht="45" customHeight="1">
      <c r="A6" s="50" t="s">
        <v>554</v>
      </c>
      <c r="B6" s="50" t="s">
        <v>410</v>
      </c>
      <c r="C6" s="86" t="s">
        <v>952</v>
      </c>
      <c r="D6" s="82"/>
      <c r="E6" s="87"/>
      <c r="F6" s="96"/>
      <c r="G6" s="96"/>
    </row>
    <row r="7" spans="1:7" ht="48" customHeight="1">
      <c r="A7" s="50" t="s">
        <v>554</v>
      </c>
      <c r="B7" s="50" t="s">
        <v>412</v>
      </c>
      <c r="C7" s="86" t="s">
        <v>953</v>
      </c>
      <c r="D7" s="82"/>
      <c r="E7" s="87"/>
      <c r="F7" s="96"/>
      <c r="G7" s="96"/>
    </row>
    <row r="8" spans="1:7" ht="44.1" customHeight="1">
      <c r="A8" s="50" t="s">
        <v>554</v>
      </c>
      <c r="B8" s="50" t="s">
        <v>414</v>
      </c>
      <c r="C8" s="86" t="s">
        <v>954</v>
      </c>
      <c r="D8" s="82"/>
      <c r="E8" s="87"/>
      <c r="F8" s="96"/>
      <c r="G8" s="96"/>
    </row>
    <row r="9" spans="1:7" ht="52.5" customHeight="1">
      <c r="A9" s="50" t="s">
        <v>554</v>
      </c>
      <c r="B9" s="50" t="s">
        <v>416</v>
      </c>
      <c r="C9" s="86" t="s">
        <v>417</v>
      </c>
      <c r="D9" s="82"/>
      <c r="E9" s="87"/>
      <c r="F9" s="96"/>
      <c r="G9" s="96"/>
    </row>
    <row r="10" spans="1:7" ht="48" customHeight="1">
      <c r="A10" s="50" t="s">
        <v>554</v>
      </c>
      <c r="B10" s="50" t="s">
        <v>418</v>
      </c>
      <c r="C10" s="56" t="s">
        <v>955</v>
      </c>
      <c r="D10" s="54"/>
      <c r="E10" s="53"/>
      <c r="F10" s="71"/>
      <c r="G10" s="71"/>
    </row>
    <row r="11" spans="1:7">
      <c r="A11" s="47" t="s">
        <v>553</v>
      </c>
      <c r="B11" s="47">
        <v>12.3</v>
      </c>
      <c r="C11" s="62" t="s">
        <v>956</v>
      </c>
      <c r="D11" s="63"/>
      <c r="E11" s="64"/>
      <c r="F11" s="64"/>
      <c r="G11" s="64"/>
    </row>
    <row r="12" spans="1:7" ht="54" customHeight="1">
      <c r="A12" s="336" t="s">
        <v>554</v>
      </c>
      <c r="B12" s="336" t="s">
        <v>421</v>
      </c>
      <c r="C12" s="56" t="s">
        <v>957</v>
      </c>
      <c r="D12" s="54"/>
      <c r="E12" s="53"/>
      <c r="F12" s="71"/>
      <c r="G12" s="71"/>
    </row>
    <row r="13" spans="1:7" ht="14.45" customHeight="1">
      <c r="A13" s="336"/>
      <c r="B13" s="336"/>
      <c r="C13" s="169" t="s">
        <v>800</v>
      </c>
      <c r="D13" s="100"/>
      <c r="E13" s="355"/>
      <c r="F13" s="308"/>
      <c r="G13" s="308"/>
    </row>
    <row r="14" spans="1:7" ht="14.45" customHeight="1">
      <c r="A14" s="336"/>
      <c r="B14" s="336"/>
      <c r="C14" s="441" t="s">
        <v>801</v>
      </c>
      <c r="D14" s="100"/>
      <c r="E14" s="356"/>
      <c r="F14" s="310"/>
      <c r="G14" s="310"/>
    </row>
    <row r="15" spans="1:7">
      <c r="A15" s="401" t="s">
        <v>554</v>
      </c>
      <c r="B15" s="336" t="s">
        <v>423</v>
      </c>
      <c r="C15" s="78" t="s">
        <v>424</v>
      </c>
      <c r="D15" s="375"/>
      <c r="E15" s="376"/>
      <c r="F15" s="376"/>
      <c r="G15" s="376"/>
    </row>
    <row r="16" spans="1:7">
      <c r="A16" s="401"/>
      <c r="B16" s="336"/>
      <c r="C16" s="91" t="s">
        <v>425</v>
      </c>
      <c r="D16" s="67"/>
      <c r="E16" s="342"/>
      <c r="F16" s="343"/>
      <c r="G16" s="343"/>
    </row>
    <row r="17" spans="1:7">
      <c r="A17" s="401"/>
      <c r="B17" s="336"/>
      <c r="C17" s="91" t="s">
        <v>426</v>
      </c>
      <c r="D17" s="68"/>
      <c r="E17" s="402"/>
      <c r="F17" s="403"/>
      <c r="G17" s="403"/>
    </row>
    <row r="18" spans="1:7">
      <c r="A18" s="401"/>
      <c r="B18" s="336"/>
      <c r="C18" s="90" t="s">
        <v>427</v>
      </c>
      <c r="D18" s="68"/>
      <c r="E18" s="344"/>
      <c r="F18" s="345"/>
      <c r="G18" s="345"/>
    </row>
    <row r="19" spans="1:7">
      <c r="A19" s="47" t="s">
        <v>553</v>
      </c>
      <c r="B19" s="47">
        <v>12.4</v>
      </c>
      <c r="C19" s="62" t="s">
        <v>428</v>
      </c>
      <c r="D19" s="63"/>
      <c r="E19" s="64"/>
      <c r="F19" s="64"/>
      <c r="G19" s="64"/>
    </row>
    <row r="20" spans="1:7" ht="45" customHeight="1">
      <c r="A20" s="336" t="s">
        <v>554</v>
      </c>
      <c r="B20" s="336" t="s">
        <v>429</v>
      </c>
      <c r="C20" s="56" t="s">
        <v>428</v>
      </c>
      <c r="D20" s="54"/>
      <c r="E20" s="53"/>
      <c r="F20" s="305"/>
      <c r="G20" s="306"/>
    </row>
    <row r="21" spans="1:7" ht="18.95" customHeight="1">
      <c r="A21" s="336"/>
      <c r="B21" s="336"/>
      <c r="C21" s="56" t="s">
        <v>958</v>
      </c>
      <c r="D21" s="351"/>
      <c r="E21" s="53"/>
      <c r="F21" s="308"/>
      <c r="G21" s="308"/>
    </row>
    <row r="22" spans="1:7" ht="18" customHeight="1">
      <c r="A22" s="336"/>
      <c r="B22" s="336"/>
      <c r="C22" s="56" t="s">
        <v>959</v>
      </c>
      <c r="D22" s="360"/>
      <c r="E22" s="53"/>
      <c r="F22" s="309"/>
      <c r="G22" s="309"/>
    </row>
    <row r="23" spans="1:7" ht="21.6" customHeight="1">
      <c r="A23" s="336"/>
      <c r="B23" s="336"/>
      <c r="C23" s="56" t="s">
        <v>960</v>
      </c>
      <c r="D23" s="352"/>
      <c r="E23" s="53"/>
      <c r="F23" s="310"/>
      <c r="G23" s="310"/>
    </row>
  </sheetData>
  <mergeCells count="16">
    <mergeCell ref="A20:A23"/>
    <mergeCell ref="B20:B23"/>
    <mergeCell ref="F20:G20"/>
    <mergeCell ref="D21:D23"/>
    <mergeCell ref="F21:F23"/>
    <mergeCell ref="G21:G23"/>
    <mergeCell ref="A1:G1"/>
    <mergeCell ref="A12:A14"/>
    <mergeCell ref="B12:B14"/>
    <mergeCell ref="A15:A18"/>
    <mergeCell ref="B15:B18"/>
    <mergeCell ref="D15:G15"/>
    <mergeCell ref="E16:G18"/>
    <mergeCell ref="E13:E14"/>
    <mergeCell ref="F13:F14"/>
    <mergeCell ref="G13:G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5"/>
  <sheetViews>
    <sheetView workbookViewId="0"/>
  </sheetViews>
  <sheetFormatPr defaultColWidth="8.85546875" defaultRowHeight="15"/>
  <cols>
    <col min="1" max="1" width="9.28515625" style="111" customWidth="1"/>
    <col min="2" max="2" width="19.28515625" style="111" customWidth="1"/>
    <col min="3" max="3" width="83.85546875" customWidth="1"/>
    <col min="4" max="4" width="20.7109375" customWidth="1"/>
  </cols>
  <sheetData>
    <row r="1" spans="1:7" ht="14.45" customHeight="1">
      <c r="A1" s="408" t="s">
        <v>961</v>
      </c>
      <c r="B1" s="408"/>
      <c r="C1" s="408"/>
      <c r="D1" s="408"/>
      <c r="E1" s="408"/>
      <c r="F1" s="408"/>
      <c r="G1" s="408"/>
    </row>
    <row r="2" spans="1:7" ht="43.5" customHeight="1">
      <c r="A2" s="134" t="s">
        <v>548</v>
      </c>
      <c r="B2" s="139" t="s">
        <v>0</v>
      </c>
      <c r="C2" s="139" t="s">
        <v>1</v>
      </c>
      <c r="D2" s="133" t="s">
        <v>549</v>
      </c>
      <c r="E2" s="133" t="s">
        <v>550</v>
      </c>
      <c r="F2" s="133" t="s">
        <v>551</v>
      </c>
      <c r="G2" s="133" t="s">
        <v>962</v>
      </c>
    </row>
    <row r="3" spans="1:7">
      <c r="A3" s="47" t="s">
        <v>553</v>
      </c>
      <c r="B3" s="47">
        <v>13.2</v>
      </c>
      <c r="C3" s="79" t="s">
        <v>280</v>
      </c>
      <c r="D3" s="63"/>
      <c r="E3" s="64"/>
      <c r="F3" s="64"/>
      <c r="G3" s="64"/>
    </row>
    <row r="4" spans="1:7" ht="42" customHeight="1">
      <c r="A4" s="409" t="s">
        <v>554</v>
      </c>
      <c r="B4" s="414" t="s">
        <v>433</v>
      </c>
      <c r="C4" s="97" t="s">
        <v>963</v>
      </c>
      <c r="D4" s="106"/>
      <c r="E4" s="67"/>
      <c r="F4" s="67"/>
      <c r="G4" s="67"/>
    </row>
    <row r="5" spans="1:7" ht="14.45" customHeight="1">
      <c r="A5" s="410"/>
      <c r="B5" s="415"/>
      <c r="C5" s="89" t="s">
        <v>584</v>
      </c>
      <c r="D5" s="106"/>
      <c r="E5" s="412"/>
      <c r="F5" s="412"/>
      <c r="G5" s="412"/>
    </row>
    <row r="6" spans="1:7" ht="14.45" customHeight="1">
      <c r="A6" s="411"/>
      <c r="B6" s="416"/>
      <c r="C6" s="86" t="s">
        <v>585</v>
      </c>
      <c r="D6" s="107"/>
      <c r="E6" s="413"/>
      <c r="F6" s="413"/>
      <c r="G6" s="413"/>
    </row>
    <row r="7" spans="1:7">
      <c r="A7" s="417" t="s">
        <v>554</v>
      </c>
      <c r="B7" s="417" t="s">
        <v>435</v>
      </c>
      <c r="C7" s="185" t="s">
        <v>280</v>
      </c>
      <c r="D7" s="371"/>
      <c r="E7" s="372"/>
      <c r="F7" s="372"/>
      <c r="G7" s="372"/>
    </row>
    <row r="8" spans="1:7">
      <c r="A8" s="358"/>
      <c r="B8" s="358"/>
      <c r="C8" s="90" t="s">
        <v>267</v>
      </c>
      <c r="D8" s="67"/>
      <c r="E8" s="373"/>
      <c r="F8" s="374"/>
      <c r="G8" s="374"/>
    </row>
    <row r="9" spans="1:7" ht="30" customHeight="1">
      <c r="A9" s="359"/>
      <c r="B9" s="359"/>
      <c r="C9" s="56" t="s">
        <v>282</v>
      </c>
      <c r="D9" s="68"/>
      <c r="E9" s="375"/>
      <c r="F9" s="376"/>
      <c r="G9" s="376"/>
    </row>
    <row r="10" spans="1:7" ht="27.6" customHeight="1">
      <c r="A10" s="47" t="s">
        <v>553</v>
      </c>
      <c r="B10" s="25">
        <v>13.3</v>
      </c>
      <c r="C10" s="108" t="s">
        <v>436</v>
      </c>
      <c r="D10" s="98"/>
      <c r="E10" s="99"/>
      <c r="F10" s="99"/>
      <c r="G10" s="99"/>
    </row>
    <row r="11" spans="1:7" ht="45">
      <c r="A11" s="83" t="s">
        <v>554</v>
      </c>
      <c r="B11" s="50" t="s">
        <v>437</v>
      </c>
      <c r="C11" s="56" t="s">
        <v>964</v>
      </c>
      <c r="D11" s="54"/>
      <c r="E11" s="53"/>
      <c r="F11" s="71"/>
      <c r="G11" s="71"/>
    </row>
    <row r="12" spans="1:7" ht="53.45" customHeight="1">
      <c r="A12" s="83" t="s">
        <v>554</v>
      </c>
      <c r="B12" s="50" t="s">
        <v>439</v>
      </c>
      <c r="C12" s="56" t="s">
        <v>965</v>
      </c>
      <c r="D12" s="54"/>
      <c r="E12" s="53"/>
      <c r="F12" s="71"/>
      <c r="G12" s="71"/>
    </row>
    <row r="13" spans="1:7" ht="57.95" customHeight="1">
      <c r="A13" s="348" t="s">
        <v>554</v>
      </c>
      <c r="B13" s="302" t="s">
        <v>441</v>
      </c>
      <c r="C13" s="442" t="s">
        <v>966</v>
      </c>
      <c r="D13" s="54"/>
      <c r="E13" s="53"/>
      <c r="F13" s="305"/>
      <c r="G13" s="306"/>
    </row>
    <row r="14" spans="1:7" ht="24.6" customHeight="1">
      <c r="A14" s="349"/>
      <c r="B14" s="303"/>
      <c r="C14" s="56" t="s">
        <v>816</v>
      </c>
      <c r="D14" s="351"/>
      <c r="E14" s="53"/>
      <c r="F14" s="308"/>
      <c r="G14" s="308"/>
    </row>
    <row r="15" spans="1:7" ht="14.45" customHeight="1">
      <c r="A15" s="350"/>
      <c r="B15" s="304"/>
      <c r="C15" s="56" t="s">
        <v>817</v>
      </c>
      <c r="D15" s="360"/>
      <c r="E15" s="53"/>
      <c r="F15" s="310"/>
      <c r="G15" s="310"/>
    </row>
    <row r="16" spans="1:7" ht="45" customHeight="1">
      <c r="A16" s="83" t="s">
        <v>554</v>
      </c>
      <c r="B16" s="50" t="s">
        <v>443</v>
      </c>
      <c r="C16" s="56" t="s">
        <v>967</v>
      </c>
      <c r="D16" s="54"/>
      <c r="E16" s="53"/>
      <c r="F16" s="71"/>
      <c r="G16" s="71"/>
    </row>
    <row r="17" spans="1:7" ht="41.1" customHeight="1">
      <c r="A17" s="83" t="s">
        <v>554</v>
      </c>
      <c r="B17" s="50" t="s">
        <v>445</v>
      </c>
      <c r="C17" s="56" t="s">
        <v>968</v>
      </c>
      <c r="D17" s="54"/>
      <c r="E17" s="53"/>
      <c r="F17" s="71"/>
      <c r="G17" s="71"/>
    </row>
    <row r="18" spans="1:7" ht="18.95" customHeight="1">
      <c r="A18" s="47" t="s">
        <v>553</v>
      </c>
      <c r="B18" s="25">
        <v>13.4</v>
      </c>
      <c r="C18" s="62" t="s">
        <v>969</v>
      </c>
      <c r="D18" s="63"/>
      <c r="E18" s="64"/>
      <c r="F18" s="64"/>
      <c r="G18" s="64"/>
    </row>
    <row r="19" spans="1:7" ht="18" customHeight="1">
      <c r="A19" s="404" t="s">
        <v>554</v>
      </c>
      <c r="B19" s="348" t="s">
        <v>448</v>
      </c>
      <c r="C19" s="56" t="s">
        <v>970</v>
      </c>
      <c r="D19" s="54"/>
      <c r="E19" s="53"/>
      <c r="F19" s="305"/>
      <c r="G19" s="306"/>
    </row>
    <row r="20" spans="1:7" ht="21.6" customHeight="1">
      <c r="A20" s="405"/>
      <c r="B20" s="349"/>
      <c r="C20" s="56" t="s">
        <v>971</v>
      </c>
      <c r="D20" s="351"/>
      <c r="E20" s="53"/>
      <c r="F20" s="308"/>
      <c r="G20" s="308"/>
    </row>
    <row r="21" spans="1:7" ht="14.45" customHeight="1">
      <c r="A21" s="405"/>
      <c r="B21" s="349"/>
      <c r="C21" s="56" t="s">
        <v>972</v>
      </c>
      <c r="D21" s="360"/>
      <c r="E21" s="53"/>
      <c r="F21" s="309"/>
      <c r="G21" s="309"/>
    </row>
    <row r="22" spans="1:7" ht="14.45" customHeight="1">
      <c r="A22" s="405"/>
      <c r="B22" s="349"/>
      <c r="C22" s="169" t="s">
        <v>973</v>
      </c>
      <c r="D22" s="360"/>
      <c r="E22" s="53"/>
      <c r="F22" s="309"/>
      <c r="G22" s="309"/>
    </row>
    <row r="23" spans="1:7" ht="14.45" customHeight="1">
      <c r="A23" s="405"/>
      <c r="B23" s="349"/>
      <c r="C23" s="169" t="s">
        <v>974</v>
      </c>
      <c r="D23" s="360"/>
      <c r="E23" s="53"/>
      <c r="F23" s="309"/>
      <c r="G23" s="309"/>
    </row>
    <row r="24" spans="1:7">
      <c r="A24" s="302" t="s">
        <v>554</v>
      </c>
      <c r="B24" s="302" t="s">
        <v>450</v>
      </c>
      <c r="C24" s="49" t="s">
        <v>451</v>
      </c>
      <c r="D24" s="371"/>
      <c r="E24" s="372"/>
      <c r="F24" s="372"/>
      <c r="G24" s="372"/>
    </row>
    <row r="25" spans="1:7" ht="90">
      <c r="A25" s="304"/>
      <c r="B25" s="304"/>
      <c r="C25" s="443" t="s">
        <v>975</v>
      </c>
      <c r="D25" s="67"/>
      <c r="E25" s="406"/>
      <c r="F25" s="407"/>
      <c r="G25" s="407"/>
    </row>
  </sheetData>
  <mergeCells count="26">
    <mergeCell ref="A1:G1"/>
    <mergeCell ref="A4:A6"/>
    <mergeCell ref="F14:F15"/>
    <mergeCell ref="G14:G15"/>
    <mergeCell ref="E5:E6"/>
    <mergeCell ref="F5:F6"/>
    <mergeCell ref="G5:G6"/>
    <mergeCell ref="B4:B6"/>
    <mergeCell ref="A7:A9"/>
    <mergeCell ref="B7:B9"/>
    <mergeCell ref="D24:G24"/>
    <mergeCell ref="E25:G25"/>
    <mergeCell ref="D7:G7"/>
    <mergeCell ref="E8:G9"/>
    <mergeCell ref="F19:G19"/>
    <mergeCell ref="D20:D23"/>
    <mergeCell ref="F20:F23"/>
    <mergeCell ref="G20:G23"/>
    <mergeCell ref="F13:G13"/>
    <mergeCell ref="D14:D15"/>
    <mergeCell ref="A24:A25"/>
    <mergeCell ref="B24:B25"/>
    <mergeCell ref="A19:A23"/>
    <mergeCell ref="A13:A15"/>
    <mergeCell ref="B13:B15"/>
    <mergeCell ref="B19:B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9"/>
  <sheetViews>
    <sheetView workbookViewId="0"/>
  </sheetViews>
  <sheetFormatPr defaultColWidth="8.85546875" defaultRowHeight="15"/>
  <cols>
    <col min="1" max="1" width="9.140625" style="111"/>
    <col min="2" max="2" width="19.28515625" style="111" customWidth="1"/>
    <col min="3" max="3" width="83.85546875" customWidth="1"/>
    <col min="4" max="4" width="20.85546875" customWidth="1"/>
  </cols>
  <sheetData>
    <row r="1" spans="1:7" ht="14.45" customHeight="1">
      <c r="A1" s="418" t="s">
        <v>976</v>
      </c>
      <c r="B1" s="418"/>
      <c r="C1" s="418"/>
      <c r="D1" s="418"/>
      <c r="E1" s="418"/>
      <c r="F1" s="418"/>
      <c r="G1" s="418"/>
    </row>
    <row r="2" spans="1:7" ht="43.5" customHeight="1">
      <c r="A2" s="135" t="s">
        <v>548</v>
      </c>
      <c r="B2" s="140" t="s">
        <v>0</v>
      </c>
      <c r="C2" s="140" t="s">
        <v>1</v>
      </c>
      <c r="D2" s="132" t="s">
        <v>549</v>
      </c>
      <c r="E2" s="132" t="s">
        <v>550</v>
      </c>
      <c r="F2" s="132" t="s">
        <v>551</v>
      </c>
      <c r="G2" s="132" t="s">
        <v>552</v>
      </c>
    </row>
    <row r="3" spans="1:7">
      <c r="A3" s="47" t="s">
        <v>553</v>
      </c>
      <c r="B3" s="47">
        <v>14.2</v>
      </c>
      <c r="C3" s="79" t="s">
        <v>454</v>
      </c>
      <c r="D3" s="63"/>
      <c r="E3" s="64"/>
      <c r="F3" s="64"/>
      <c r="G3" s="64"/>
    </row>
    <row r="4" spans="1:7" ht="63" customHeight="1">
      <c r="A4" s="336" t="s">
        <v>554</v>
      </c>
      <c r="B4" s="336" t="s">
        <v>455</v>
      </c>
      <c r="C4" s="56" t="s">
        <v>977</v>
      </c>
      <c r="D4" s="54"/>
      <c r="E4" s="53"/>
      <c r="F4" s="305"/>
      <c r="G4" s="306"/>
    </row>
    <row r="5" spans="1:7" ht="18" customHeight="1">
      <c r="A5" s="336"/>
      <c r="B5" s="336"/>
      <c r="C5" s="56" t="s">
        <v>811</v>
      </c>
      <c r="D5" s="351"/>
      <c r="E5" s="53"/>
      <c r="F5" s="308"/>
      <c r="G5" s="308"/>
    </row>
    <row r="6" spans="1:7" ht="20.45" customHeight="1">
      <c r="A6" s="336"/>
      <c r="B6" s="336"/>
      <c r="C6" s="56" t="s">
        <v>812</v>
      </c>
      <c r="D6" s="360"/>
      <c r="E6" s="53"/>
      <c r="F6" s="310"/>
      <c r="G6" s="310"/>
    </row>
    <row r="7" spans="1:7" ht="50.45" customHeight="1">
      <c r="A7" s="336" t="s">
        <v>554</v>
      </c>
      <c r="B7" s="336" t="s">
        <v>457</v>
      </c>
      <c r="C7" s="56" t="s">
        <v>978</v>
      </c>
      <c r="D7" s="54"/>
      <c r="E7" s="53"/>
      <c r="F7" s="305"/>
      <c r="G7" s="306"/>
    </row>
    <row r="8" spans="1:7" ht="18" customHeight="1">
      <c r="A8" s="336"/>
      <c r="B8" s="336"/>
      <c r="C8" s="56" t="s">
        <v>811</v>
      </c>
      <c r="D8" s="351"/>
      <c r="E8" s="53"/>
      <c r="F8" s="308"/>
      <c r="G8" s="308"/>
    </row>
    <row r="9" spans="1:7" ht="20.45" customHeight="1">
      <c r="A9" s="336"/>
      <c r="B9" s="336"/>
      <c r="C9" s="56" t="s">
        <v>812</v>
      </c>
      <c r="D9" s="360"/>
      <c r="E9" s="53"/>
      <c r="F9" s="310"/>
      <c r="G9" s="310"/>
    </row>
    <row r="10" spans="1:7" ht="51" customHeight="1">
      <c r="A10" s="336" t="s">
        <v>554</v>
      </c>
      <c r="B10" s="336" t="s">
        <v>459</v>
      </c>
      <c r="C10" s="56" t="s">
        <v>979</v>
      </c>
      <c r="D10" s="54"/>
      <c r="E10" s="53"/>
      <c r="F10" s="305"/>
      <c r="G10" s="306"/>
    </row>
    <row r="11" spans="1:7" ht="18" customHeight="1">
      <c r="A11" s="336"/>
      <c r="B11" s="336"/>
      <c r="C11" s="56" t="s">
        <v>811</v>
      </c>
      <c r="D11" s="351"/>
      <c r="E11" s="53"/>
      <c r="F11" s="308"/>
      <c r="G11" s="308"/>
    </row>
    <row r="12" spans="1:7" ht="20.45" customHeight="1">
      <c r="A12" s="336"/>
      <c r="B12" s="336"/>
      <c r="C12" s="56" t="s">
        <v>812</v>
      </c>
      <c r="D12" s="360"/>
      <c r="E12" s="53"/>
      <c r="F12" s="310"/>
      <c r="G12" s="310"/>
    </row>
    <row r="13" spans="1:7">
      <c r="A13" s="47" t="s">
        <v>553</v>
      </c>
      <c r="B13" s="47">
        <v>14.3</v>
      </c>
      <c r="C13" s="93" t="s">
        <v>461</v>
      </c>
      <c r="D13" s="80"/>
      <c r="E13" s="81"/>
      <c r="F13" s="81"/>
      <c r="G13" s="81"/>
    </row>
    <row r="14" spans="1:7" ht="57.95" customHeight="1">
      <c r="A14" s="50" t="s">
        <v>554</v>
      </c>
      <c r="B14" s="50" t="s">
        <v>462</v>
      </c>
      <c r="C14" s="56" t="s">
        <v>980</v>
      </c>
      <c r="D14" s="54"/>
      <c r="E14" s="53"/>
      <c r="F14" s="71"/>
      <c r="G14" s="71"/>
    </row>
    <row r="15" spans="1:7" ht="51" customHeight="1">
      <c r="A15" s="50" t="s">
        <v>554</v>
      </c>
      <c r="B15" s="50" t="s">
        <v>464</v>
      </c>
      <c r="C15" s="78" t="s">
        <v>981</v>
      </c>
      <c r="D15" s="85"/>
      <c r="E15" s="88"/>
      <c r="F15" s="95"/>
      <c r="G15" s="95"/>
    </row>
    <row r="16" spans="1:7" ht="53.1" customHeight="1">
      <c r="A16" s="50" t="s">
        <v>554</v>
      </c>
      <c r="B16" s="50" t="s">
        <v>466</v>
      </c>
      <c r="C16" s="56" t="s">
        <v>982</v>
      </c>
      <c r="D16" s="54"/>
      <c r="E16" s="53"/>
      <c r="F16" s="71"/>
      <c r="G16" s="71"/>
    </row>
    <row r="17" spans="1:7" ht="51" customHeight="1">
      <c r="A17" s="50" t="s">
        <v>554</v>
      </c>
      <c r="B17" s="50" t="s">
        <v>468</v>
      </c>
      <c r="C17" s="56" t="s">
        <v>983</v>
      </c>
      <c r="D17" s="54"/>
      <c r="E17" s="53"/>
      <c r="F17" s="71"/>
      <c r="G17" s="71"/>
    </row>
    <row r="18" spans="1:7">
      <c r="A18" s="47" t="s">
        <v>553</v>
      </c>
      <c r="B18" s="47">
        <v>14.4</v>
      </c>
      <c r="C18" s="93" t="s">
        <v>470</v>
      </c>
      <c r="D18" s="80"/>
      <c r="E18" s="81"/>
      <c r="F18" s="81"/>
      <c r="G18" s="81"/>
    </row>
    <row r="19" spans="1:7" ht="57.95" customHeight="1">
      <c r="A19" s="50" t="s">
        <v>554</v>
      </c>
      <c r="B19" s="50" t="s">
        <v>471</v>
      </c>
      <c r="C19" s="56" t="s">
        <v>984</v>
      </c>
      <c r="D19" s="54"/>
      <c r="E19" s="53"/>
      <c r="F19" s="71"/>
      <c r="G19" s="71"/>
    </row>
    <row r="20" spans="1:7" ht="51" customHeight="1">
      <c r="A20" s="50" t="s">
        <v>554</v>
      </c>
      <c r="B20" s="50" t="s">
        <v>473</v>
      </c>
      <c r="C20" s="78" t="s">
        <v>985</v>
      </c>
      <c r="D20" s="85"/>
      <c r="E20" s="88"/>
      <c r="F20" s="95"/>
      <c r="G20" s="95"/>
    </row>
    <row r="21" spans="1:7" ht="53.1" customHeight="1">
      <c r="A21" s="50" t="s">
        <v>554</v>
      </c>
      <c r="B21" s="50" t="s">
        <v>475</v>
      </c>
      <c r="C21" s="56" t="s">
        <v>986</v>
      </c>
      <c r="D21" s="54"/>
      <c r="E21" s="53"/>
      <c r="F21" s="71"/>
      <c r="G21" s="71"/>
    </row>
    <row r="22" spans="1:7">
      <c r="A22" s="47" t="s">
        <v>553</v>
      </c>
      <c r="B22" s="47">
        <v>14.5</v>
      </c>
      <c r="C22" s="62" t="s">
        <v>477</v>
      </c>
      <c r="D22" s="63"/>
      <c r="E22" s="64"/>
      <c r="F22" s="64"/>
      <c r="G22" s="64"/>
    </row>
    <row r="23" spans="1:7" ht="44.25" customHeight="1">
      <c r="A23" s="50" t="s">
        <v>554</v>
      </c>
      <c r="B23" s="50" t="s">
        <v>478</v>
      </c>
      <c r="C23" s="56" t="s">
        <v>987</v>
      </c>
      <c r="D23" s="54"/>
      <c r="E23" s="53"/>
      <c r="F23" s="71"/>
      <c r="G23" s="71"/>
    </row>
    <row r="24" spans="1:7" ht="41.1" customHeight="1">
      <c r="A24" s="50" t="s">
        <v>554</v>
      </c>
      <c r="B24" s="50" t="s">
        <v>480</v>
      </c>
      <c r="C24" s="56" t="s">
        <v>988</v>
      </c>
      <c r="D24" s="54"/>
      <c r="E24" s="53"/>
      <c r="F24" s="71"/>
      <c r="G24" s="71"/>
    </row>
    <row r="25" spans="1:7" ht="53.1" customHeight="1">
      <c r="A25" s="336" t="s">
        <v>554</v>
      </c>
      <c r="B25" s="336" t="s">
        <v>482</v>
      </c>
      <c r="C25" s="56" t="s">
        <v>989</v>
      </c>
      <c r="D25" s="54"/>
      <c r="E25" s="53"/>
      <c r="F25" s="305"/>
      <c r="G25" s="306"/>
    </row>
    <row r="26" spans="1:7" ht="18" customHeight="1">
      <c r="A26" s="336"/>
      <c r="B26" s="336"/>
      <c r="C26" s="56" t="s">
        <v>706</v>
      </c>
      <c r="D26" s="351"/>
      <c r="E26" s="53"/>
      <c r="F26" s="308"/>
      <c r="G26" s="308"/>
    </row>
    <row r="27" spans="1:7" ht="20.45" customHeight="1">
      <c r="A27" s="336"/>
      <c r="B27" s="336"/>
      <c r="C27" s="56" t="s">
        <v>990</v>
      </c>
      <c r="D27" s="360"/>
      <c r="E27" s="53"/>
      <c r="F27" s="310"/>
      <c r="G27" s="310"/>
    </row>
    <row r="28" spans="1:7" ht="38.450000000000003" customHeight="1">
      <c r="A28" s="50" t="s">
        <v>554</v>
      </c>
      <c r="B28" s="50" t="s">
        <v>484</v>
      </c>
      <c r="C28" s="56" t="s">
        <v>991</v>
      </c>
      <c r="D28" s="54"/>
      <c r="E28" s="53"/>
      <c r="F28" s="71"/>
      <c r="G28" s="71"/>
    </row>
    <row r="29" spans="1:7" ht="51.95" customHeight="1">
      <c r="A29" s="50" t="s">
        <v>554</v>
      </c>
      <c r="B29" s="50" t="s">
        <v>486</v>
      </c>
      <c r="C29" s="56" t="s">
        <v>992</v>
      </c>
      <c r="D29" s="54"/>
      <c r="E29" s="53"/>
      <c r="F29" s="71"/>
      <c r="G29" s="71"/>
    </row>
  </sheetData>
  <mergeCells count="25">
    <mergeCell ref="A1:G1"/>
    <mergeCell ref="A4:A6"/>
    <mergeCell ref="A7:A9"/>
    <mergeCell ref="A10:A12"/>
    <mergeCell ref="B10:B12"/>
    <mergeCell ref="F10:G10"/>
    <mergeCell ref="B4:B6"/>
    <mergeCell ref="F4:G4"/>
    <mergeCell ref="D5:D6"/>
    <mergeCell ref="D11:D12"/>
    <mergeCell ref="F11:F12"/>
    <mergeCell ref="G11:G12"/>
    <mergeCell ref="B7:B9"/>
    <mergeCell ref="F7:G7"/>
    <mergeCell ref="D8:D9"/>
    <mergeCell ref="F8:F9"/>
    <mergeCell ref="G8:G9"/>
    <mergeCell ref="F5:F6"/>
    <mergeCell ref="G5:G6"/>
    <mergeCell ref="A25:A27"/>
    <mergeCell ref="B25:B27"/>
    <mergeCell ref="F25:G25"/>
    <mergeCell ref="D26:D27"/>
    <mergeCell ref="F26:F27"/>
    <mergeCell ref="G26:G2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5"/>
  <sheetViews>
    <sheetView workbookViewId="0"/>
  </sheetViews>
  <sheetFormatPr defaultColWidth="8.85546875" defaultRowHeight="15"/>
  <cols>
    <col min="1" max="1" width="9.140625" style="111"/>
    <col min="2" max="2" width="18.42578125" style="111" customWidth="1"/>
    <col min="3" max="3" width="83.85546875" customWidth="1"/>
    <col min="4" max="4" width="23" customWidth="1"/>
    <col min="6" max="6" width="11.140625" customWidth="1"/>
    <col min="7" max="7" width="11" customWidth="1"/>
  </cols>
  <sheetData>
    <row r="1" spans="1:7" ht="14.45" customHeight="1">
      <c r="A1" s="419" t="s">
        <v>993</v>
      </c>
      <c r="B1" s="419"/>
      <c r="C1" s="419"/>
      <c r="D1" s="419"/>
      <c r="E1" s="419"/>
      <c r="F1" s="419"/>
      <c r="G1" s="419"/>
    </row>
    <row r="2" spans="1:7" ht="45" customHeight="1">
      <c r="A2" s="131" t="s">
        <v>548</v>
      </c>
      <c r="B2" s="141" t="s">
        <v>0</v>
      </c>
      <c r="C2" s="141" t="s">
        <v>1</v>
      </c>
      <c r="D2" s="130" t="s">
        <v>549</v>
      </c>
      <c r="E2" s="130" t="s">
        <v>550</v>
      </c>
      <c r="F2" s="130" t="s">
        <v>551</v>
      </c>
      <c r="G2" s="130" t="s">
        <v>552</v>
      </c>
    </row>
    <row r="3" spans="1:7">
      <c r="A3" s="92" t="s">
        <v>553</v>
      </c>
      <c r="B3" s="47">
        <v>15.2</v>
      </c>
      <c r="C3" s="79" t="s">
        <v>489</v>
      </c>
      <c r="D3" s="80"/>
      <c r="E3" s="81"/>
      <c r="F3" s="81"/>
      <c r="G3" s="81"/>
    </row>
    <row r="4" spans="1:7" ht="57.95" customHeight="1">
      <c r="A4" s="50" t="s">
        <v>554</v>
      </c>
      <c r="B4" s="94" t="s">
        <v>490</v>
      </c>
      <c r="C4" s="56" t="s">
        <v>994</v>
      </c>
      <c r="D4" s="54"/>
      <c r="E4" s="53"/>
      <c r="F4" s="71"/>
      <c r="G4" s="71"/>
    </row>
    <row r="5" spans="1:7" ht="39.950000000000003" customHeight="1">
      <c r="A5" s="84" t="s">
        <v>554</v>
      </c>
      <c r="B5" s="94" t="s">
        <v>492</v>
      </c>
      <c r="C5" s="78" t="s">
        <v>995</v>
      </c>
      <c r="D5" s="85"/>
      <c r="E5" s="88"/>
      <c r="F5" s="95"/>
      <c r="G5" s="95"/>
    </row>
    <row r="6" spans="1:7" ht="53.1" customHeight="1">
      <c r="A6" s="50" t="s">
        <v>554</v>
      </c>
      <c r="B6" s="94" t="s">
        <v>494</v>
      </c>
      <c r="C6" s="56" t="s">
        <v>996</v>
      </c>
      <c r="D6" s="54"/>
      <c r="E6" s="53"/>
      <c r="F6" s="71"/>
      <c r="G6" s="71"/>
    </row>
    <row r="7" spans="1:7" ht="53.1" customHeight="1">
      <c r="A7" s="348" t="s">
        <v>554</v>
      </c>
      <c r="B7" s="302" t="s">
        <v>496</v>
      </c>
      <c r="C7" s="56" t="s">
        <v>997</v>
      </c>
      <c r="D7" s="54"/>
      <c r="E7" s="53"/>
      <c r="F7" s="305"/>
      <c r="G7" s="306"/>
    </row>
    <row r="8" spans="1:7" ht="18" customHeight="1">
      <c r="A8" s="349"/>
      <c r="B8" s="303"/>
      <c r="C8" s="56" t="s">
        <v>811</v>
      </c>
      <c r="D8" s="351"/>
      <c r="E8" s="53"/>
      <c r="F8" s="308"/>
      <c r="G8" s="308"/>
    </row>
    <row r="9" spans="1:7" ht="20.45" customHeight="1">
      <c r="A9" s="350"/>
      <c r="B9" s="304"/>
      <c r="C9" s="56" t="s">
        <v>812</v>
      </c>
      <c r="D9" s="360"/>
      <c r="E9" s="53"/>
      <c r="F9" s="310"/>
      <c r="G9" s="310"/>
    </row>
    <row r="10" spans="1:7" ht="53.1" customHeight="1">
      <c r="A10" s="348" t="s">
        <v>554</v>
      </c>
      <c r="B10" s="302" t="s">
        <v>498</v>
      </c>
      <c r="C10" s="56" t="s">
        <v>998</v>
      </c>
      <c r="D10" s="54"/>
      <c r="E10" s="53"/>
      <c r="F10" s="305"/>
      <c r="G10" s="306"/>
    </row>
    <row r="11" spans="1:7" ht="18" customHeight="1">
      <c r="A11" s="349"/>
      <c r="B11" s="303"/>
      <c r="C11" s="56" t="s">
        <v>811</v>
      </c>
      <c r="D11" s="351"/>
      <c r="E11" s="53"/>
      <c r="F11" s="308"/>
      <c r="G11" s="308"/>
    </row>
    <row r="12" spans="1:7" ht="20.45" customHeight="1">
      <c r="A12" s="350"/>
      <c r="B12" s="304"/>
      <c r="C12" s="56" t="s">
        <v>812</v>
      </c>
      <c r="D12" s="360"/>
      <c r="E12" s="53"/>
      <c r="F12" s="310"/>
      <c r="G12" s="310"/>
    </row>
    <row r="13" spans="1:7" ht="53.1" customHeight="1">
      <c r="A13" s="348" t="s">
        <v>554</v>
      </c>
      <c r="B13" s="302" t="s">
        <v>500</v>
      </c>
      <c r="C13" s="56" t="s">
        <v>999</v>
      </c>
      <c r="D13" s="54"/>
      <c r="E13" s="53"/>
      <c r="F13" s="305"/>
      <c r="G13" s="306"/>
    </row>
    <row r="14" spans="1:7" ht="18" customHeight="1">
      <c r="A14" s="349"/>
      <c r="B14" s="303"/>
      <c r="C14" s="56" t="s">
        <v>811</v>
      </c>
      <c r="D14" s="351"/>
      <c r="E14" s="53"/>
      <c r="F14" s="308"/>
      <c r="G14" s="308"/>
    </row>
    <row r="15" spans="1:7" ht="20.45" customHeight="1">
      <c r="A15" s="350"/>
      <c r="B15" s="304"/>
      <c r="C15" s="56" t="s">
        <v>812</v>
      </c>
      <c r="D15" s="360"/>
      <c r="E15" s="53"/>
      <c r="F15" s="310"/>
      <c r="G15" s="310"/>
    </row>
    <row r="16" spans="1:7">
      <c r="A16" s="92" t="s">
        <v>553</v>
      </c>
      <c r="B16" s="25">
        <v>15.3</v>
      </c>
      <c r="C16" s="93" t="s">
        <v>502</v>
      </c>
      <c r="D16" s="80"/>
      <c r="E16" s="81"/>
      <c r="F16" s="81"/>
      <c r="G16" s="81"/>
    </row>
    <row r="17" spans="1:7" ht="57.95" customHeight="1">
      <c r="A17" s="50" t="s">
        <v>554</v>
      </c>
      <c r="B17" s="94" t="s">
        <v>503</v>
      </c>
      <c r="C17" s="56" t="s">
        <v>1000</v>
      </c>
      <c r="D17" s="54"/>
      <c r="E17" s="53"/>
      <c r="F17" s="71"/>
      <c r="G17" s="71"/>
    </row>
    <row r="18" spans="1:7" ht="51" customHeight="1">
      <c r="A18" s="84" t="s">
        <v>554</v>
      </c>
      <c r="B18" s="94" t="s">
        <v>505</v>
      </c>
      <c r="C18" s="78" t="s">
        <v>1001</v>
      </c>
      <c r="D18" s="85"/>
      <c r="E18" s="88"/>
      <c r="F18" s="95"/>
      <c r="G18" s="95"/>
    </row>
    <row r="19" spans="1:7" ht="53.1" customHeight="1">
      <c r="A19" s="50" t="s">
        <v>554</v>
      </c>
      <c r="B19" s="94" t="s">
        <v>507</v>
      </c>
      <c r="C19" s="56" t="s">
        <v>1002</v>
      </c>
      <c r="D19" s="54"/>
      <c r="E19" s="53"/>
      <c r="F19" s="71"/>
      <c r="G19" s="71"/>
    </row>
    <row r="20" spans="1:7" ht="51" customHeight="1">
      <c r="A20" s="50" t="s">
        <v>554</v>
      </c>
      <c r="B20" s="94" t="s">
        <v>509</v>
      </c>
      <c r="C20" s="56" t="s">
        <v>1003</v>
      </c>
      <c r="D20" s="54"/>
      <c r="E20" s="53"/>
      <c r="F20" s="71"/>
      <c r="G20" s="71"/>
    </row>
    <row r="21" spans="1:7" ht="42.95" customHeight="1">
      <c r="A21" s="50" t="s">
        <v>554</v>
      </c>
      <c r="B21" s="94" t="s">
        <v>511</v>
      </c>
      <c r="C21" s="56" t="s">
        <v>1004</v>
      </c>
      <c r="D21" s="54"/>
      <c r="E21" s="53"/>
      <c r="F21" s="71"/>
      <c r="G21" s="71"/>
    </row>
    <row r="22" spans="1:7">
      <c r="A22" s="92" t="s">
        <v>553</v>
      </c>
      <c r="B22" s="25">
        <v>15.4</v>
      </c>
      <c r="C22" s="93" t="s">
        <v>513</v>
      </c>
      <c r="D22" s="80"/>
      <c r="E22" s="81"/>
      <c r="F22" s="81"/>
      <c r="G22" s="81"/>
    </row>
    <row r="23" spans="1:7" ht="57.95" customHeight="1">
      <c r="A23" s="50" t="s">
        <v>554</v>
      </c>
      <c r="B23" s="94" t="s">
        <v>514</v>
      </c>
      <c r="C23" s="56" t="s">
        <v>984</v>
      </c>
      <c r="D23" s="54"/>
      <c r="E23" s="53"/>
      <c r="F23" s="71"/>
      <c r="G23" s="71"/>
    </row>
    <row r="24" spans="1:7" ht="43.5" customHeight="1">
      <c r="A24" s="84" t="s">
        <v>554</v>
      </c>
      <c r="B24" s="94" t="s">
        <v>515</v>
      </c>
      <c r="C24" s="78" t="s">
        <v>1005</v>
      </c>
      <c r="D24" s="85"/>
      <c r="E24" s="88"/>
      <c r="F24" s="95"/>
      <c r="G24" s="95"/>
    </row>
    <row r="25" spans="1:7" ht="45.95" customHeight="1">
      <c r="A25" s="50" t="s">
        <v>554</v>
      </c>
      <c r="B25" s="94" t="s">
        <v>517</v>
      </c>
      <c r="C25" s="56" t="s">
        <v>1006</v>
      </c>
      <c r="D25" s="54"/>
      <c r="E25" s="53"/>
      <c r="F25" s="71"/>
      <c r="G25" s="71"/>
    </row>
  </sheetData>
  <mergeCells count="19">
    <mergeCell ref="A1:G1"/>
    <mergeCell ref="A7:A9"/>
    <mergeCell ref="B7:B9"/>
    <mergeCell ref="F7:G7"/>
    <mergeCell ref="D8:D9"/>
    <mergeCell ref="F8:F9"/>
    <mergeCell ref="G8:G9"/>
    <mergeCell ref="A10:A12"/>
    <mergeCell ref="B10:B12"/>
    <mergeCell ref="F10:G10"/>
    <mergeCell ref="D11:D12"/>
    <mergeCell ref="F11:F12"/>
    <mergeCell ref="G11:G12"/>
    <mergeCell ref="F13:G13"/>
    <mergeCell ref="A13:A15"/>
    <mergeCell ref="B13:B15"/>
    <mergeCell ref="D14:D15"/>
    <mergeCell ref="F14:F15"/>
    <mergeCell ref="G14:G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2"/>
  <sheetViews>
    <sheetView workbookViewId="0"/>
  </sheetViews>
  <sheetFormatPr defaultColWidth="8.85546875" defaultRowHeight="15"/>
  <cols>
    <col min="2" max="2" width="20" customWidth="1"/>
    <col min="3" max="3" width="83.85546875" customWidth="1"/>
    <col min="4" max="4" width="22.28515625" customWidth="1"/>
  </cols>
  <sheetData>
    <row r="1" spans="1:7" ht="14.45" customHeight="1">
      <c r="A1" s="420" t="s">
        <v>1007</v>
      </c>
      <c r="B1" s="420"/>
      <c r="C1" s="420"/>
      <c r="D1" s="420"/>
      <c r="E1" s="420"/>
      <c r="F1" s="420"/>
      <c r="G1" s="420"/>
    </row>
    <row r="2" spans="1:7" ht="42" customHeight="1">
      <c r="A2" s="143" t="s">
        <v>548</v>
      </c>
      <c r="B2" s="142" t="s">
        <v>0</v>
      </c>
      <c r="C2" s="142" t="s">
        <v>1</v>
      </c>
      <c r="D2" s="129" t="s">
        <v>549</v>
      </c>
      <c r="E2" s="129" t="s">
        <v>550</v>
      </c>
      <c r="F2" s="129" t="s">
        <v>551</v>
      </c>
      <c r="G2" s="129" t="s">
        <v>552</v>
      </c>
    </row>
    <row r="3" spans="1:7">
      <c r="A3" s="47" t="s">
        <v>553</v>
      </c>
      <c r="B3" s="47">
        <v>16.2</v>
      </c>
      <c r="C3" s="79" t="s">
        <v>520</v>
      </c>
      <c r="D3" s="63"/>
      <c r="E3" s="64"/>
      <c r="F3" s="64"/>
      <c r="G3" s="64"/>
    </row>
    <row r="4" spans="1:7" ht="45" customHeight="1">
      <c r="A4" s="336" t="s">
        <v>554</v>
      </c>
      <c r="B4" s="336" t="s">
        <v>521</v>
      </c>
      <c r="C4" s="56" t="s">
        <v>1008</v>
      </c>
      <c r="D4" s="54"/>
      <c r="E4" s="53"/>
      <c r="F4" s="305"/>
      <c r="G4" s="306"/>
    </row>
    <row r="5" spans="1:7" ht="18.95" customHeight="1">
      <c r="A5" s="336"/>
      <c r="B5" s="336"/>
      <c r="C5" s="205" t="s">
        <v>1009</v>
      </c>
      <c r="D5" s="351"/>
      <c r="E5" s="53"/>
      <c r="F5" s="308"/>
      <c r="G5" s="308"/>
    </row>
    <row r="6" spans="1:7" ht="18" customHeight="1">
      <c r="A6" s="336"/>
      <c r="B6" s="336"/>
      <c r="C6" s="205" t="s">
        <v>1010</v>
      </c>
      <c r="D6" s="360"/>
      <c r="E6" s="53"/>
      <c r="F6" s="309"/>
      <c r="G6" s="309"/>
    </row>
    <row r="7" spans="1:7" ht="21.6" customHeight="1">
      <c r="A7" s="336"/>
      <c r="B7" s="336"/>
      <c r="C7" s="205" t="s">
        <v>1011</v>
      </c>
      <c r="D7" s="352"/>
      <c r="E7" s="53"/>
      <c r="F7" s="310"/>
      <c r="G7" s="310"/>
    </row>
    <row r="8" spans="1:7" ht="38.450000000000003" customHeight="1">
      <c r="A8" s="333" t="s">
        <v>554</v>
      </c>
      <c r="B8" s="421" t="s">
        <v>523</v>
      </c>
      <c r="C8" s="208" t="s">
        <v>1012</v>
      </c>
      <c r="D8" s="54"/>
      <c r="E8" s="53"/>
      <c r="F8" s="71"/>
      <c r="G8" s="71"/>
    </row>
    <row r="9" spans="1:7" ht="14.25" customHeight="1">
      <c r="A9" s="334"/>
      <c r="B9" s="422"/>
      <c r="C9" s="210" t="s">
        <v>1013</v>
      </c>
      <c r="D9" s="172"/>
      <c r="E9" s="88"/>
      <c r="F9" s="95"/>
      <c r="G9" s="95"/>
    </row>
    <row r="10" spans="1:7" ht="14.25" customHeight="1">
      <c r="A10" s="334"/>
      <c r="B10" s="422"/>
      <c r="C10" s="210" t="s">
        <v>1014</v>
      </c>
      <c r="D10" s="172"/>
      <c r="E10" s="88"/>
      <c r="F10" s="95"/>
      <c r="G10" s="95"/>
    </row>
    <row r="11" spans="1:7" ht="14.25" customHeight="1">
      <c r="A11" s="335"/>
      <c r="B11" s="423"/>
      <c r="C11" s="210" t="s">
        <v>1015</v>
      </c>
      <c r="D11" s="172"/>
      <c r="E11" s="88"/>
      <c r="F11" s="95"/>
      <c r="G11" s="95"/>
    </row>
    <row r="12" spans="1:7" ht="51" customHeight="1">
      <c r="A12" s="50" t="s">
        <v>554</v>
      </c>
      <c r="B12" s="50" t="s">
        <v>525</v>
      </c>
      <c r="C12" s="207" t="s">
        <v>1016</v>
      </c>
      <c r="D12" s="85"/>
      <c r="E12" s="88"/>
      <c r="F12" s="95"/>
      <c r="G12" s="95"/>
    </row>
    <row r="13" spans="1:7" ht="64.5" customHeight="1">
      <c r="A13" s="50" t="s">
        <v>554</v>
      </c>
      <c r="B13" s="50" t="s">
        <v>527</v>
      </c>
      <c r="C13" s="442" t="s">
        <v>1017</v>
      </c>
      <c r="D13" s="54"/>
      <c r="E13" s="53"/>
      <c r="F13" s="71"/>
      <c r="G13" s="71"/>
    </row>
    <row r="14" spans="1:7" ht="41.45" customHeight="1">
      <c r="A14" s="50" t="s">
        <v>554</v>
      </c>
      <c r="B14" s="50" t="s">
        <v>529</v>
      </c>
      <c r="C14" s="205" t="s">
        <v>1018</v>
      </c>
      <c r="D14" s="54"/>
      <c r="E14" s="53"/>
      <c r="F14" s="71"/>
      <c r="G14" s="71"/>
    </row>
    <row r="15" spans="1:7" ht="51" customHeight="1">
      <c r="A15" s="333" t="s">
        <v>554</v>
      </c>
      <c r="B15" s="302" t="s">
        <v>531</v>
      </c>
      <c r="C15" s="205" t="s">
        <v>1019</v>
      </c>
      <c r="D15" s="54"/>
      <c r="E15" s="53"/>
      <c r="F15" s="71"/>
      <c r="G15" s="71"/>
    </row>
    <row r="16" spans="1:7" ht="18" customHeight="1">
      <c r="A16" s="334"/>
      <c r="B16" s="303"/>
      <c r="C16" s="205" t="s">
        <v>1020</v>
      </c>
      <c r="D16" s="54"/>
      <c r="E16" s="53"/>
      <c r="F16" s="170"/>
      <c r="G16" s="171"/>
    </row>
    <row r="17" spans="1:7" ht="17.25" customHeight="1">
      <c r="A17" s="334"/>
      <c r="B17" s="303"/>
      <c r="C17" s="205" t="s">
        <v>1021</v>
      </c>
      <c r="D17" s="54"/>
      <c r="E17" s="53"/>
      <c r="F17" s="170"/>
      <c r="G17" s="171"/>
    </row>
    <row r="18" spans="1:7" ht="17.25" customHeight="1">
      <c r="A18" s="334"/>
      <c r="B18" s="303"/>
      <c r="C18" s="205" t="s">
        <v>1022</v>
      </c>
      <c r="D18" s="54"/>
      <c r="E18" s="53"/>
      <c r="F18" s="170"/>
      <c r="G18" s="171"/>
    </row>
    <row r="19" spans="1:7" ht="17.25" customHeight="1">
      <c r="A19" s="335"/>
      <c r="B19" s="304"/>
      <c r="C19" s="205" t="s">
        <v>1023</v>
      </c>
      <c r="D19" s="54"/>
      <c r="E19" s="53"/>
      <c r="F19" s="170"/>
      <c r="G19" s="171"/>
    </row>
    <row r="20" spans="1:7" ht="53.1" customHeight="1">
      <c r="A20" s="50" t="s">
        <v>554</v>
      </c>
      <c r="B20" s="50" t="s">
        <v>533</v>
      </c>
      <c r="C20" s="205" t="s">
        <v>1024</v>
      </c>
      <c r="D20" s="54"/>
      <c r="E20" s="53"/>
      <c r="F20" s="305"/>
      <c r="G20" s="306"/>
    </row>
    <row r="21" spans="1:7">
      <c r="A21" s="47" t="s">
        <v>553</v>
      </c>
      <c r="B21" s="47">
        <v>16.3</v>
      </c>
      <c r="C21" s="209" t="s">
        <v>535</v>
      </c>
      <c r="D21" s="63"/>
      <c r="E21" s="64"/>
      <c r="F21" s="64"/>
      <c r="G21" s="64"/>
    </row>
    <row r="22" spans="1:7" ht="51.6" customHeight="1">
      <c r="A22" s="336" t="s">
        <v>554</v>
      </c>
      <c r="B22" s="336" t="s">
        <v>536</v>
      </c>
      <c r="C22" s="205" t="s">
        <v>1025</v>
      </c>
      <c r="D22" s="54"/>
      <c r="E22" s="53"/>
      <c r="F22" s="305"/>
      <c r="G22" s="306"/>
    </row>
    <row r="23" spans="1:7" ht="18.95" customHeight="1">
      <c r="A23" s="336"/>
      <c r="B23" s="336"/>
      <c r="C23" s="205" t="s">
        <v>816</v>
      </c>
      <c r="D23" s="351"/>
      <c r="E23" s="53"/>
      <c r="F23" s="308"/>
      <c r="G23" s="308"/>
    </row>
    <row r="24" spans="1:7" ht="18" customHeight="1">
      <c r="A24" s="336"/>
      <c r="B24" s="336"/>
      <c r="C24" s="205" t="s">
        <v>817</v>
      </c>
      <c r="D24" s="360"/>
      <c r="E24" s="53"/>
      <c r="F24" s="309"/>
      <c r="G24" s="309"/>
    </row>
    <row r="25" spans="1:7" ht="21.6" customHeight="1">
      <c r="A25" s="336"/>
      <c r="B25" s="336"/>
      <c r="C25" s="205" t="s">
        <v>833</v>
      </c>
      <c r="D25" s="352"/>
      <c r="E25" s="53"/>
      <c r="F25" s="310"/>
      <c r="G25" s="310"/>
    </row>
    <row r="26" spans="1:7" ht="50.1" customHeight="1">
      <c r="A26" s="50" t="s">
        <v>554</v>
      </c>
      <c r="B26" s="50" t="s">
        <v>538</v>
      </c>
      <c r="C26" s="205" t="s">
        <v>1026</v>
      </c>
      <c r="D26" s="54"/>
      <c r="E26" s="53"/>
      <c r="F26" s="71"/>
      <c r="G26" s="71"/>
    </row>
    <row r="27" spans="1:7" ht="36" customHeight="1">
      <c r="A27" s="50" t="s">
        <v>554</v>
      </c>
      <c r="B27" s="50" t="s">
        <v>540</v>
      </c>
      <c r="C27" s="207" t="s">
        <v>1027</v>
      </c>
      <c r="D27" s="85"/>
      <c r="E27" s="88"/>
      <c r="F27" s="95"/>
      <c r="G27" s="95"/>
    </row>
    <row r="28" spans="1:7" ht="53.1" customHeight="1">
      <c r="A28" s="50" t="s">
        <v>554</v>
      </c>
      <c r="B28" s="50" t="s">
        <v>542</v>
      </c>
      <c r="C28" s="205" t="s">
        <v>1028</v>
      </c>
      <c r="D28" s="54"/>
      <c r="E28" s="53"/>
      <c r="F28" s="71"/>
      <c r="G28" s="71"/>
    </row>
    <row r="29" spans="1:7">
      <c r="A29" s="47" t="s">
        <v>553</v>
      </c>
      <c r="B29" s="47">
        <v>16.399999999999999</v>
      </c>
      <c r="C29" s="209" t="s">
        <v>544</v>
      </c>
      <c r="D29" s="63"/>
      <c r="E29" s="64"/>
      <c r="F29" s="64"/>
      <c r="G29" s="64"/>
    </row>
    <row r="30" spans="1:7">
      <c r="A30" s="336" t="s">
        <v>554</v>
      </c>
      <c r="B30" s="336" t="s">
        <v>545</v>
      </c>
      <c r="C30" s="49" t="s">
        <v>1029</v>
      </c>
      <c r="D30" s="371"/>
      <c r="E30" s="372"/>
      <c r="F30" s="372"/>
      <c r="G30" s="372"/>
    </row>
    <row r="31" spans="1:7">
      <c r="A31" s="336"/>
      <c r="B31" s="336"/>
      <c r="C31" s="73" t="s">
        <v>113</v>
      </c>
      <c r="D31" s="67"/>
      <c r="E31" s="373"/>
      <c r="F31" s="374"/>
      <c r="G31" s="374"/>
    </row>
    <row r="32" spans="1:7">
      <c r="A32" s="336"/>
      <c r="B32" s="336"/>
      <c r="C32" s="97" t="s">
        <v>547</v>
      </c>
      <c r="D32" s="68"/>
      <c r="E32" s="375"/>
      <c r="F32" s="376"/>
      <c r="G32" s="376"/>
    </row>
  </sheetData>
  <mergeCells count="22">
    <mergeCell ref="F20:G20"/>
    <mergeCell ref="F4:G4"/>
    <mergeCell ref="B4:B7"/>
    <mergeCell ref="D5:D7"/>
    <mergeCell ref="F5:F7"/>
    <mergeCell ref="G5:G7"/>
    <mergeCell ref="B8:B11"/>
    <mergeCell ref="A22:A25"/>
    <mergeCell ref="A30:A32"/>
    <mergeCell ref="B30:B32"/>
    <mergeCell ref="D30:G30"/>
    <mergeCell ref="E31:G32"/>
    <mergeCell ref="B22:B25"/>
    <mergeCell ref="F22:G22"/>
    <mergeCell ref="D23:D25"/>
    <mergeCell ref="F23:F25"/>
    <mergeCell ref="G23:G25"/>
    <mergeCell ref="A8:A11"/>
    <mergeCell ref="B15:B19"/>
    <mergeCell ref="A15:A19"/>
    <mergeCell ref="A1:G1"/>
    <mergeCell ref="A4:A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74"/>
  <sheetViews>
    <sheetView workbookViewId="0"/>
  </sheetViews>
  <sheetFormatPr defaultColWidth="8.85546875" defaultRowHeight="15"/>
  <cols>
    <col min="2" max="2" width="18.42578125" customWidth="1"/>
    <col min="3" max="3" width="60.140625" style="231" customWidth="1"/>
    <col min="4" max="4" width="65.5703125" style="235" customWidth="1"/>
    <col min="5" max="5" width="22.85546875" customWidth="1"/>
    <col min="6" max="6" width="20.7109375" customWidth="1"/>
    <col min="8" max="8" width="10.7109375" customWidth="1"/>
    <col min="10" max="10" width="26.28515625" customWidth="1"/>
    <col min="11" max="11" width="22" customWidth="1"/>
    <col min="12" max="12" width="30" customWidth="1"/>
    <col min="13" max="13" width="38" customWidth="1"/>
    <col min="14" max="14" width="27" customWidth="1"/>
    <col min="15" max="15" width="15" customWidth="1"/>
    <col min="16" max="16" width="12" customWidth="1"/>
    <col min="17" max="17" width="15" customWidth="1"/>
  </cols>
  <sheetData>
    <row r="1" spans="1:17" ht="14.45" customHeight="1">
      <c r="A1" s="424" t="s">
        <v>1030</v>
      </c>
      <c r="B1" s="424"/>
      <c r="C1" s="424"/>
      <c r="D1" s="424"/>
      <c r="E1" s="424"/>
      <c r="F1" s="424"/>
      <c r="G1" s="424"/>
      <c r="H1" s="424"/>
      <c r="I1" s="424"/>
      <c r="J1" s="424"/>
      <c r="K1" s="386" t="s">
        <v>660</v>
      </c>
      <c r="L1" s="386"/>
      <c r="M1" s="386"/>
      <c r="N1" s="386"/>
      <c r="O1" s="386"/>
      <c r="P1" s="386"/>
      <c r="Q1" s="386"/>
    </row>
    <row r="2" spans="1:17" s="15" customFormat="1" ht="46.5" customHeight="1">
      <c r="A2" s="145" t="s">
        <v>548</v>
      </c>
      <c r="B2" s="144" t="s">
        <v>0</v>
      </c>
      <c r="C2" s="144" t="s">
        <v>1031</v>
      </c>
      <c r="D2" s="144" t="s">
        <v>661</v>
      </c>
      <c r="E2" s="144" t="s">
        <v>662</v>
      </c>
      <c r="F2" s="128" t="s">
        <v>549</v>
      </c>
      <c r="G2" s="128" t="s">
        <v>550</v>
      </c>
      <c r="H2" s="128" t="s">
        <v>551</v>
      </c>
      <c r="I2" s="128" t="s">
        <v>552</v>
      </c>
      <c r="J2" s="293" t="s">
        <v>602</v>
      </c>
      <c r="K2" s="298" t="s">
        <v>663</v>
      </c>
      <c r="L2" s="298" t="s">
        <v>664</v>
      </c>
      <c r="M2" s="298" t="s">
        <v>665</v>
      </c>
      <c r="N2" s="298" t="s">
        <v>666</v>
      </c>
      <c r="O2" s="298" t="s">
        <v>667</v>
      </c>
      <c r="P2" s="298" t="s">
        <v>668</v>
      </c>
      <c r="Q2" s="298" t="s">
        <v>669</v>
      </c>
    </row>
    <row r="3" spans="1:17" ht="15" customHeight="1">
      <c r="A3" s="92" t="s">
        <v>553</v>
      </c>
      <c r="B3" s="47">
        <v>17.2</v>
      </c>
      <c r="C3" s="251" t="s">
        <v>6</v>
      </c>
      <c r="D3" s="250" t="s">
        <v>1032</v>
      </c>
      <c r="E3" s="278"/>
      <c r="F3" s="80"/>
      <c r="G3" s="81"/>
      <c r="H3" s="81"/>
      <c r="I3" s="81"/>
      <c r="J3" s="49"/>
      <c r="K3" s="235" t="s">
        <v>672</v>
      </c>
      <c r="L3" s="235" t="s">
        <v>672</v>
      </c>
      <c r="M3" s="235" t="s">
        <v>1033</v>
      </c>
      <c r="N3" s="235" t="s">
        <v>674</v>
      </c>
      <c r="O3" s="299">
        <v>0.185</v>
      </c>
      <c r="P3" s="235" t="str">
        <f t="shared" ref="P3:P8" si="0">IF(ISBLANK(O3),"",IF(O3=0,"Baja",IF(OR(O3&gt;=10%,ISNUMBER(SEARCH("Política",N3))),"Alta","Media")))</f>
        <v>Alta</v>
      </c>
      <c r="Q3" s="235" t="s">
        <v>675</v>
      </c>
    </row>
    <row r="4" spans="1:17" ht="111" customHeight="1">
      <c r="A4" s="50" t="s">
        <v>554</v>
      </c>
      <c r="B4" s="94" t="s">
        <v>7</v>
      </c>
      <c r="C4" s="239" t="s">
        <v>1034</v>
      </c>
      <c r="D4" s="205" t="s">
        <v>1035</v>
      </c>
      <c r="E4" s="279" t="s">
        <v>1036</v>
      </c>
      <c r="F4" s="54"/>
      <c r="G4" s="53"/>
      <c r="H4" s="71"/>
      <c r="I4" s="170"/>
      <c r="J4" s="49"/>
      <c r="K4" s="235" t="s">
        <v>672</v>
      </c>
      <c r="L4" s="235" t="s">
        <v>672</v>
      </c>
      <c r="M4" s="235" t="s">
        <v>1037</v>
      </c>
      <c r="N4" s="235" t="s">
        <v>686</v>
      </c>
      <c r="O4" s="299">
        <v>3.6999999999999998E-2</v>
      </c>
      <c r="P4" s="235" t="str">
        <f t="shared" si="0"/>
        <v>Media</v>
      </c>
      <c r="Q4" s="235" t="s">
        <v>675</v>
      </c>
    </row>
    <row r="5" spans="1:17" ht="54" customHeight="1">
      <c r="A5" s="84" t="s">
        <v>554</v>
      </c>
      <c r="B5" s="94" t="s">
        <v>12</v>
      </c>
      <c r="C5" s="276" t="s">
        <v>1038</v>
      </c>
      <c r="D5" s="205" t="s">
        <v>1039</v>
      </c>
      <c r="E5" s="279" t="s">
        <v>1036</v>
      </c>
      <c r="F5" s="85"/>
      <c r="G5" s="88"/>
      <c r="H5" s="95"/>
      <c r="I5" s="289"/>
      <c r="J5" s="49"/>
      <c r="K5" s="235" t="s">
        <v>672</v>
      </c>
      <c r="L5" s="235" t="s">
        <v>672</v>
      </c>
      <c r="M5" s="235" t="s">
        <v>1040</v>
      </c>
      <c r="N5" s="235" t="s">
        <v>686</v>
      </c>
      <c r="O5" s="299">
        <v>3.6999999999999998E-2</v>
      </c>
      <c r="P5" s="235" t="str">
        <f t="shared" si="0"/>
        <v>Media</v>
      </c>
      <c r="Q5" s="235" t="s">
        <v>675</v>
      </c>
    </row>
    <row r="6" spans="1:17" ht="50.25" customHeight="1">
      <c r="A6" s="83" t="s">
        <v>554</v>
      </c>
      <c r="B6" s="94" t="s">
        <v>14</v>
      </c>
      <c r="C6" s="277" t="s">
        <v>1041</v>
      </c>
      <c r="D6" s="205" t="s">
        <v>1042</v>
      </c>
      <c r="E6" s="279" t="s">
        <v>1036</v>
      </c>
      <c r="F6" s="82"/>
      <c r="G6" s="87"/>
      <c r="H6" s="96"/>
      <c r="I6" s="290"/>
      <c r="J6" s="49"/>
      <c r="K6" s="235" t="s">
        <v>672</v>
      </c>
      <c r="L6" s="235" t="s">
        <v>672</v>
      </c>
      <c r="M6" s="235" t="s">
        <v>1043</v>
      </c>
      <c r="N6" s="235" t="s">
        <v>686</v>
      </c>
      <c r="O6" s="299">
        <v>3.6999999999999998E-2</v>
      </c>
      <c r="P6" s="235" t="str">
        <f t="shared" si="0"/>
        <v>Media</v>
      </c>
      <c r="Q6" s="235" t="s">
        <v>675</v>
      </c>
    </row>
    <row r="7" spans="1:17" ht="66.75" customHeight="1">
      <c r="A7" s="83" t="s">
        <v>554</v>
      </c>
      <c r="B7" s="94" t="s">
        <v>16</v>
      </c>
      <c r="C7" s="277" t="s">
        <v>1044</v>
      </c>
      <c r="D7" s="205" t="s">
        <v>1045</v>
      </c>
      <c r="E7" s="279" t="s">
        <v>1036</v>
      </c>
      <c r="F7" s="82"/>
      <c r="G7" s="87"/>
      <c r="H7" s="96"/>
      <c r="I7" s="290"/>
      <c r="J7" s="49"/>
      <c r="K7" s="235" t="s">
        <v>672</v>
      </c>
      <c r="L7" s="235" t="s">
        <v>672</v>
      </c>
      <c r="M7" s="235" t="s">
        <v>1043</v>
      </c>
      <c r="N7" s="235" t="s">
        <v>686</v>
      </c>
      <c r="O7" s="299">
        <v>3.6999999999999998E-2</v>
      </c>
      <c r="P7" s="235" t="str">
        <f t="shared" si="0"/>
        <v>Media</v>
      </c>
      <c r="Q7" s="235" t="s">
        <v>675</v>
      </c>
    </row>
    <row r="8" spans="1:17" ht="76.5" customHeight="1">
      <c r="A8" s="332" t="s">
        <v>554</v>
      </c>
      <c r="B8" s="336" t="s">
        <v>18</v>
      </c>
      <c r="C8" s="239" t="s">
        <v>1046</v>
      </c>
      <c r="D8" s="284" t="s">
        <v>1047</v>
      </c>
      <c r="E8" s="279" t="s">
        <v>1036</v>
      </c>
      <c r="F8" s="54"/>
      <c r="G8" s="53"/>
      <c r="H8" s="305"/>
      <c r="I8" s="306"/>
      <c r="J8" s="49"/>
      <c r="K8" s="235" t="s">
        <v>672</v>
      </c>
      <c r="L8" s="235" t="s">
        <v>672</v>
      </c>
      <c r="M8" s="235" t="s">
        <v>1048</v>
      </c>
      <c r="N8" s="235" t="s">
        <v>686</v>
      </c>
      <c r="O8" s="299">
        <v>3.6999999999999998E-2</v>
      </c>
      <c r="P8" s="235" t="str">
        <f t="shared" si="0"/>
        <v>Media</v>
      </c>
      <c r="Q8" s="235" t="s">
        <v>675</v>
      </c>
    </row>
    <row r="9" spans="1:17" ht="30" customHeight="1">
      <c r="A9" s="332"/>
      <c r="B9" s="336"/>
      <c r="C9" s="239" t="s">
        <v>1049</v>
      </c>
      <c r="D9" s="205" t="s">
        <v>1050</v>
      </c>
      <c r="E9" s="281" t="s">
        <v>1051</v>
      </c>
      <c r="F9" s="351"/>
      <c r="G9" s="53"/>
      <c r="H9" s="308"/>
      <c r="I9" s="311"/>
      <c r="J9" s="49"/>
      <c r="K9" s="235" t="s">
        <v>672</v>
      </c>
      <c r="L9" s="235" t="s">
        <v>893</v>
      </c>
      <c r="M9" s="235" t="s">
        <v>860</v>
      </c>
      <c r="N9" s="235" t="s">
        <v>686</v>
      </c>
      <c r="O9" s="299"/>
      <c r="P9" s="235"/>
      <c r="Q9" s="235"/>
    </row>
    <row r="10" spans="1:17" ht="18" customHeight="1">
      <c r="A10" s="332"/>
      <c r="B10" s="336"/>
      <c r="C10" s="239" t="s">
        <v>1052</v>
      </c>
      <c r="D10" s="205" t="s">
        <v>1053</v>
      </c>
      <c r="E10" s="280" t="s">
        <v>1054</v>
      </c>
      <c r="F10" s="360"/>
      <c r="G10" s="53"/>
      <c r="H10" s="309"/>
      <c r="I10" s="312"/>
      <c r="J10" s="49"/>
      <c r="K10" s="235" t="s">
        <v>672</v>
      </c>
      <c r="L10" s="235" t="s">
        <v>1054</v>
      </c>
      <c r="M10" s="235"/>
      <c r="N10" s="235" t="s">
        <v>686</v>
      </c>
      <c r="O10" s="299"/>
      <c r="P10" s="235"/>
      <c r="Q10" s="235"/>
    </row>
    <row r="11" spans="1:17" ht="21.6" customHeight="1">
      <c r="A11" s="332"/>
      <c r="B11" s="336"/>
      <c r="C11" s="239" t="s">
        <v>1055</v>
      </c>
      <c r="D11" s="205" t="s">
        <v>1056</v>
      </c>
      <c r="E11" s="282" t="s">
        <v>1057</v>
      </c>
      <c r="F11" s="352"/>
      <c r="G11" s="53"/>
      <c r="H11" s="310"/>
      <c r="I11" s="313"/>
      <c r="J11" s="49"/>
      <c r="K11" s="235" t="s">
        <v>672</v>
      </c>
      <c r="L11" s="235" t="s">
        <v>1057</v>
      </c>
      <c r="M11" s="235"/>
      <c r="N11" s="235" t="s">
        <v>686</v>
      </c>
      <c r="O11" s="299"/>
      <c r="P11" s="235"/>
      <c r="Q11" s="235"/>
    </row>
    <row r="12" spans="1:17" ht="30">
      <c r="A12" s="47" t="s">
        <v>553</v>
      </c>
      <c r="B12" s="47">
        <v>17.3</v>
      </c>
      <c r="C12" s="275" t="s">
        <v>1058</v>
      </c>
      <c r="D12" s="285" t="s">
        <v>1059</v>
      </c>
      <c r="E12" s="283"/>
      <c r="F12" s="63"/>
      <c r="G12" s="64"/>
      <c r="H12" s="64"/>
      <c r="I12" s="64"/>
      <c r="J12" s="49"/>
      <c r="K12" s="235" t="s">
        <v>672</v>
      </c>
      <c r="L12" s="235" t="s">
        <v>672</v>
      </c>
      <c r="M12" s="235" t="s">
        <v>1060</v>
      </c>
      <c r="N12" s="235" t="s">
        <v>674</v>
      </c>
      <c r="O12" s="299">
        <v>0.27200000000000002</v>
      </c>
      <c r="P12" s="235" t="str">
        <f>IF(ISBLANK(O12),"",IF(O12=0,"Baja",IF(OR(O12&gt;=10%,ISNUMBER(SEARCH("Política",N12))),"Alta","Media")))</f>
        <v>Alta</v>
      </c>
      <c r="Q12" s="235" t="s">
        <v>675</v>
      </c>
    </row>
    <row r="13" spans="1:17" ht="44.1" customHeight="1">
      <c r="A13" s="332" t="s">
        <v>554</v>
      </c>
      <c r="B13" s="336" t="s">
        <v>1061</v>
      </c>
      <c r="C13" s="239" t="s">
        <v>1062</v>
      </c>
      <c r="D13" s="205" t="s">
        <v>1063</v>
      </c>
      <c r="E13" s="279" t="s">
        <v>1036</v>
      </c>
      <c r="F13" s="54"/>
      <c r="G13" s="53"/>
      <c r="H13" s="305"/>
      <c r="I13" s="306"/>
      <c r="J13" s="49"/>
      <c r="K13" s="235" t="s">
        <v>672</v>
      </c>
      <c r="L13" s="235" t="s">
        <v>672</v>
      </c>
      <c r="M13" s="235" t="s">
        <v>1060</v>
      </c>
      <c r="N13" s="235" t="s">
        <v>686</v>
      </c>
      <c r="O13" s="299">
        <v>1.6E-2</v>
      </c>
      <c r="P13" s="235" t="str">
        <f>IF(ISBLANK(O13),"",IF(O13=0,"Baja",IF(OR(O13&gt;=10%,ISNUMBER(SEARCH("Política",N13))),"Alta","Media")))</f>
        <v>Media</v>
      </c>
      <c r="Q13" s="235" t="s">
        <v>675</v>
      </c>
    </row>
    <row r="14" spans="1:17" ht="18" customHeight="1">
      <c r="A14" s="332"/>
      <c r="B14" s="336"/>
      <c r="C14" s="239" t="s">
        <v>1064</v>
      </c>
      <c r="D14" s="205" t="s">
        <v>1065</v>
      </c>
      <c r="E14" s="281"/>
      <c r="F14" s="351"/>
      <c r="G14" s="53"/>
      <c r="H14" s="308"/>
      <c r="I14" s="311"/>
      <c r="J14" s="49"/>
      <c r="K14" s="235" t="s">
        <v>672</v>
      </c>
      <c r="L14" s="235" t="s">
        <v>672</v>
      </c>
      <c r="M14" s="235" t="s">
        <v>1060</v>
      </c>
      <c r="N14" s="235" t="s">
        <v>686</v>
      </c>
      <c r="O14" s="299"/>
      <c r="P14" s="235"/>
      <c r="Q14" s="235"/>
    </row>
    <row r="15" spans="1:17" ht="20.45" customHeight="1">
      <c r="A15" s="332"/>
      <c r="B15" s="336"/>
      <c r="C15" s="239" t="s">
        <v>1066</v>
      </c>
      <c r="D15" s="205" t="s">
        <v>1067</v>
      </c>
      <c r="E15" s="280"/>
      <c r="F15" s="360"/>
      <c r="G15" s="53"/>
      <c r="H15" s="310"/>
      <c r="I15" s="313"/>
      <c r="J15" s="49"/>
      <c r="K15" s="235" t="s">
        <v>672</v>
      </c>
      <c r="L15" s="235" t="s">
        <v>672</v>
      </c>
      <c r="M15" s="235" t="s">
        <v>1060</v>
      </c>
      <c r="N15" s="235" t="s">
        <v>686</v>
      </c>
      <c r="O15" s="299"/>
      <c r="P15" s="235"/>
      <c r="Q15" s="235"/>
    </row>
    <row r="16" spans="1:17" ht="45.95" customHeight="1">
      <c r="A16" s="332" t="s">
        <v>554</v>
      </c>
      <c r="B16" s="336" t="s">
        <v>24</v>
      </c>
      <c r="C16" s="239" t="s">
        <v>1068</v>
      </c>
      <c r="D16" s="205" t="s">
        <v>1069</v>
      </c>
      <c r="E16" s="279" t="s">
        <v>1036</v>
      </c>
      <c r="F16" s="54"/>
      <c r="G16" s="53"/>
      <c r="H16" s="305"/>
      <c r="I16" s="306"/>
      <c r="J16" s="49"/>
      <c r="K16" s="235" t="s">
        <v>672</v>
      </c>
      <c r="L16" s="235" t="s">
        <v>672</v>
      </c>
      <c r="M16" s="235" t="s">
        <v>1060</v>
      </c>
      <c r="N16" s="235" t="s">
        <v>686</v>
      </c>
      <c r="O16" s="299">
        <v>1.6E-2</v>
      </c>
      <c r="P16" s="235" t="str">
        <f>IF(ISBLANK(O16),"",IF(O16=0,"Baja",IF(OR(O16&gt;=10%,ISNUMBER(SEARCH("Política",N16))),"Alta","Media")))</f>
        <v>Media</v>
      </c>
      <c r="Q16" s="235" t="s">
        <v>675</v>
      </c>
    </row>
    <row r="17" spans="1:17" ht="18" customHeight="1">
      <c r="A17" s="332"/>
      <c r="B17" s="336"/>
      <c r="C17" s="239" t="s">
        <v>1064</v>
      </c>
      <c r="D17" s="205" t="s">
        <v>1065</v>
      </c>
      <c r="E17" s="281"/>
      <c r="F17" s="351"/>
      <c r="G17" s="53"/>
      <c r="H17" s="308"/>
      <c r="I17" s="311"/>
      <c r="J17" s="49"/>
      <c r="K17" s="235" t="s">
        <v>672</v>
      </c>
      <c r="L17" s="235" t="s">
        <v>672</v>
      </c>
      <c r="M17" s="235" t="s">
        <v>1060</v>
      </c>
      <c r="N17" s="235" t="s">
        <v>686</v>
      </c>
      <c r="O17" s="299"/>
      <c r="P17" s="235"/>
      <c r="Q17" s="235"/>
    </row>
    <row r="18" spans="1:17" ht="20.45" customHeight="1">
      <c r="A18" s="332"/>
      <c r="B18" s="336"/>
      <c r="C18" s="239" t="s">
        <v>1066</v>
      </c>
      <c r="D18" s="205" t="s">
        <v>1059</v>
      </c>
      <c r="E18" s="280"/>
      <c r="F18" s="360"/>
      <c r="G18" s="53"/>
      <c r="H18" s="310"/>
      <c r="I18" s="313"/>
      <c r="J18" s="49"/>
      <c r="K18" s="235" t="s">
        <v>672</v>
      </c>
      <c r="L18" s="235" t="s">
        <v>672</v>
      </c>
      <c r="M18" s="235" t="s">
        <v>1060</v>
      </c>
      <c r="N18" s="235" t="s">
        <v>686</v>
      </c>
      <c r="O18" s="299"/>
      <c r="P18" s="235"/>
      <c r="Q18" s="235"/>
    </row>
    <row r="19" spans="1:17" ht="47.25" customHeight="1">
      <c r="A19" s="332" t="s">
        <v>554</v>
      </c>
      <c r="B19" s="336" t="s">
        <v>26</v>
      </c>
      <c r="C19" s="239" t="s">
        <v>1070</v>
      </c>
      <c r="D19" s="205" t="s">
        <v>1071</v>
      </c>
      <c r="E19" s="279" t="s">
        <v>1036</v>
      </c>
      <c r="F19" s="54"/>
      <c r="G19" s="53"/>
      <c r="H19" s="305"/>
      <c r="I19" s="306"/>
      <c r="J19" s="49"/>
      <c r="K19" s="235" t="s">
        <v>672</v>
      </c>
      <c r="L19" s="235" t="s">
        <v>672</v>
      </c>
      <c r="M19" s="235" t="s">
        <v>1060</v>
      </c>
      <c r="N19" s="235" t="s">
        <v>686</v>
      </c>
      <c r="O19" s="299">
        <v>1.6E-2</v>
      </c>
      <c r="P19" s="235" t="str">
        <f>IF(ISBLANK(O19),"",IF(O19=0,"Baja",IF(OR(O19&gt;=10%,ISNUMBER(SEARCH("Política",N19))),"Alta","Media")))</f>
        <v>Media</v>
      </c>
      <c r="Q19" s="235" t="s">
        <v>675</v>
      </c>
    </row>
    <row r="20" spans="1:17" ht="18" customHeight="1">
      <c r="A20" s="332"/>
      <c r="B20" s="336"/>
      <c r="C20" s="239" t="s">
        <v>1064</v>
      </c>
      <c r="D20" s="205" t="s">
        <v>1065</v>
      </c>
      <c r="E20" s="281"/>
      <c r="F20" s="351"/>
      <c r="G20" s="53"/>
      <c r="H20" s="308"/>
      <c r="I20" s="311"/>
      <c r="J20" s="49"/>
      <c r="K20" s="235" t="s">
        <v>672</v>
      </c>
      <c r="L20" s="235" t="s">
        <v>672</v>
      </c>
      <c r="M20" s="235" t="s">
        <v>1060</v>
      </c>
      <c r="N20" s="235" t="s">
        <v>686</v>
      </c>
      <c r="O20" s="299"/>
      <c r="P20" s="235"/>
      <c r="Q20" s="235"/>
    </row>
    <row r="21" spans="1:17" ht="20.45" customHeight="1">
      <c r="A21" s="332"/>
      <c r="B21" s="336"/>
      <c r="C21" s="239" t="s">
        <v>1066</v>
      </c>
      <c r="D21" s="205" t="s">
        <v>1067</v>
      </c>
      <c r="E21" s="280"/>
      <c r="F21" s="360"/>
      <c r="G21" s="53"/>
      <c r="H21" s="310"/>
      <c r="I21" s="313"/>
      <c r="J21" s="49"/>
      <c r="K21" s="235" t="s">
        <v>672</v>
      </c>
      <c r="L21" s="235" t="s">
        <v>672</v>
      </c>
      <c r="M21" s="235" t="s">
        <v>1060</v>
      </c>
      <c r="N21" s="235" t="s">
        <v>686</v>
      </c>
      <c r="O21" s="299"/>
      <c r="P21" s="235"/>
      <c r="Q21" s="235"/>
    </row>
    <row r="22" spans="1:17" ht="47.1" customHeight="1">
      <c r="A22" s="332" t="s">
        <v>554</v>
      </c>
      <c r="B22" s="336" t="s">
        <v>28</v>
      </c>
      <c r="C22" s="239" t="s">
        <v>1072</v>
      </c>
      <c r="D22" s="205" t="s">
        <v>1073</v>
      </c>
      <c r="E22" s="279" t="s">
        <v>1036</v>
      </c>
      <c r="F22" s="54"/>
      <c r="G22" s="53"/>
      <c r="H22" s="305"/>
      <c r="I22" s="306"/>
      <c r="J22" s="49"/>
      <c r="K22" s="235" t="s">
        <v>672</v>
      </c>
      <c r="L22" s="235" t="s">
        <v>672</v>
      </c>
      <c r="M22" s="235" t="s">
        <v>1060</v>
      </c>
      <c r="N22" s="235" t="s">
        <v>686</v>
      </c>
      <c r="O22" s="299">
        <v>1.6E-2</v>
      </c>
      <c r="P22" s="235" t="str">
        <f>IF(ISBLANK(O22),"",IF(O22=0,"Baja",IF(OR(O22&gt;=10%,ISNUMBER(SEARCH("Política",N22))),"Alta","Media")))</f>
        <v>Media</v>
      </c>
      <c r="Q22" s="235" t="s">
        <v>675</v>
      </c>
    </row>
    <row r="23" spans="1:17" ht="18" customHeight="1">
      <c r="A23" s="332"/>
      <c r="B23" s="336"/>
      <c r="C23" s="239" t="s">
        <v>1064</v>
      </c>
      <c r="D23" s="205" t="s">
        <v>1065</v>
      </c>
      <c r="E23" s="281"/>
      <c r="F23" s="351"/>
      <c r="G23" s="53"/>
      <c r="H23" s="308"/>
      <c r="I23" s="311"/>
      <c r="J23" s="49"/>
      <c r="K23" s="235" t="s">
        <v>672</v>
      </c>
      <c r="L23" s="235" t="s">
        <v>672</v>
      </c>
      <c r="M23" s="235" t="s">
        <v>1060</v>
      </c>
      <c r="N23" s="235" t="s">
        <v>686</v>
      </c>
      <c r="O23" s="299"/>
      <c r="P23" s="235"/>
      <c r="Q23" s="235"/>
    </row>
    <row r="24" spans="1:17" ht="20.45" customHeight="1">
      <c r="A24" s="332"/>
      <c r="B24" s="336"/>
      <c r="C24" s="239" t="s">
        <v>1066</v>
      </c>
      <c r="D24" s="205" t="s">
        <v>1059</v>
      </c>
      <c r="E24" s="280"/>
      <c r="F24" s="360"/>
      <c r="G24" s="53"/>
      <c r="H24" s="310"/>
      <c r="I24" s="313"/>
      <c r="J24" s="49"/>
      <c r="K24" s="235" t="s">
        <v>672</v>
      </c>
      <c r="L24" s="235" t="s">
        <v>672</v>
      </c>
      <c r="M24" s="235" t="s">
        <v>1060</v>
      </c>
      <c r="N24" s="235" t="s">
        <v>686</v>
      </c>
      <c r="O24" s="299"/>
      <c r="P24" s="235"/>
      <c r="Q24" s="235"/>
    </row>
    <row r="25" spans="1:17" ht="45.6" customHeight="1">
      <c r="A25" s="333" t="s">
        <v>554</v>
      </c>
      <c r="B25" s="336" t="s">
        <v>30</v>
      </c>
      <c r="C25" s="239" t="s">
        <v>1074</v>
      </c>
      <c r="D25" s="205" t="s">
        <v>1075</v>
      </c>
      <c r="E25" s="279" t="s">
        <v>1036</v>
      </c>
      <c r="F25" s="54"/>
      <c r="G25" s="53"/>
      <c r="H25" s="305"/>
      <c r="I25" s="306"/>
      <c r="J25" s="49"/>
      <c r="K25" s="235" t="s">
        <v>672</v>
      </c>
      <c r="L25" s="235" t="s">
        <v>672</v>
      </c>
      <c r="M25" s="235" t="s">
        <v>1060</v>
      </c>
      <c r="N25" s="235" t="s">
        <v>686</v>
      </c>
      <c r="O25" s="299">
        <v>1.6E-2</v>
      </c>
      <c r="P25" s="235" t="str">
        <f>IF(ISBLANK(O25),"",IF(O25=0,"Baja",IF(OR(O25&gt;=10%,ISNUMBER(SEARCH("Política",N25))),"Alta","Media")))</f>
        <v>Media</v>
      </c>
      <c r="Q25" s="235" t="s">
        <v>675</v>
      </c>
    </row>
    <row r="26" spans="1:17" ht="18" customHeight="1">
      <c r="A26" s="334"/>
      <c r="B26" s="336"/>
      <c r="C26" s="239" t="s">
        <v>1064</v>
      </c>
      <c r="D26" s="205" t="s">
        <v>1065</v>
      </c>
      <c r="E26" s="281"/>
      <c r="F26" s="351"/>
      <c r="G26" s="53"/>
      <c r="H26" s="308"/>
      <c r="I26" s="311"/>
      <c r="J26" s="49"/>
      <c r="K26" s="235" t="s">
        <v>672</v>
      </c>
      <c r="L26" s="235" t="s">
        <v>672</v>
      </c>
      <c r="M26" s="235" t="s">
        <v>1060</v>
      </c>
      <c r="N26" s="235" t="s">
        <v>686</v>
      </c>
      <c r="O26" s="299"/>
      <c r="P26" s="235"/>
      <c r="Q26" s="235"/>
    </row>
    <row r="27" spans="1:17" ht="20.45" customHeight="1">
      <c r="A27" s="335"/>
      <c r="B27" s="336"/>
      <c r="C27" s="239" t="s">
        <v>1066</v>
      </c>
      <c r="D27" s="205" t="s">
        <v>1067</v>
      </c>
      <c r="E27" s="280"/>
      <c r="F27" s="360"/>
      <c r="G27" s="53"/>
      <c r="H27" s="310"/>
      <c r="I27" s="313"/>
      <c r="J27" s="49"/>
      <c r="K27" s="235" t="s">
        <v>672</v>
      </c>
      <c r="L27" s="235" t="s">
        <v>672</v>
      </c>
      <c r="M27" s="235" t="s">
        <v>1060</v>
      </c>
      <c r="N27" s="235" t="s">
        <v>686</v>
      </c>
      <c r="O27" s="299"/>
      <c r="P27" s="235"/>
      <c r="Q27" s="235"/>
    </row>
    <row r="28" spans="1:17" ht="51" customHeight="1">
      <c r="A28" s="333" t="s">
        <v>554</v>
      </c>
      <c r="B28" s="336" t="s">
        <v>32</v>
      </c>
      <c r="C28" s="239" t="s">
        <v>1076</v>
      </c>
      <c r="D28" s="205" t="s">
        <v>1077</v>
      </c>
      <c r="E28" s="279" t="s">
        <v>1036</v>
      </c>
      <c r="F28" s="54"/>
      <c r="G28" s="53"/>
      <c r="H28" s="305"/>
      <c r="I28" s="306"/>
      <c r="J28" s="49"/>
      <c r="K28" s="235" t="s">
        <v>672</v>
      </c>
      <c r="L28" s="235" t="s">
        <v>672</v>
      </c>
      <c r="M28" s="235" t="s">
        <v>1060</v>
      </c>
      <c r="N28" s="235" t="s">
        <v>686</v>
      </c>
      <c r="O28" s="299">
        <v>1.6E-2</v>
      </c>
      <c r="P28" s="235" t="str">
        <f>IF(ISBLANK(O28),"",IF(O28=0,"Baja",IF(OR(O28&gt;=10%,ISNUMBER(SEARCH("Política",N28))),"Alta","Media")))</f>
        <v>Media</v>
      </c>
      <c r="Q28" s="235" t="s">
        <v>675</v>
      </c>
    </row>
    <row r="29" spans="1:17" ht="18" customHeight="1">
      <c r="A29" s="334"/>
      <c r="B29" s="336"/>
      <c r="C29" s="239" t="s">
        <v>1064</v>
      </c>
      <c r="D29" s="205" t="s">
        <v>1065</v>
      </c>
      <c r="E29" s="281"/>
      <c r="F29" s="351"/>
      <c r="G29" s="53"/>
      <c r="H29" s="308"/>
      <c r="I29" s="311"/>
      <c r="J29" s="49"/>
      <c r="K29" s="235" t="s">
        <v>672</v>
      </c>
      <c r="L29" s="235" t="s">
        <v>672</v>
      </c>
      <c r="M29" s="235" t="s">
        <v>1060</v>
      </c>
      <c r="N29" s="235" t="s">
        <v>686</v>
      </c>
      <c r="O29" s="299"/>
      <c r="P29" s="235"/>
      <c r="Q29" s="235"/>
    </row>
    <row r="30" spans="1:17" ht="20.45" customHeight="1">
      <c r="A30" s="335"/>
      <c r="B30" s="336"/>
      <c r="C30" s="239" t="s">
        <v>1066</v>
      </c>
      <c r="D30" s="205" t="s">
        <v>1059</v>
      </c>
      <c r="E30" s="280"/>
      <c r="F30" s="360"/>
      <c r="G30" s="53"/>
      <c r="H30" s="310"/>
      <c r="I30" s="313"/>
      <c r="J30" s="49"/>
      <c r="K30" s="235" t="s">
        <v>672</v>
      </c>
      <c r="L30" s="235" t="s">
        <v>672</v>
      </c>
      <c r="M30" s="235" t="s">
        <v>1060</v>
      </c>
      <c r="N30" s="235" t="s">
        <v>686</v>
      </c>
      <c r="O30" s="299"/>
      <c r="P30" s="235"/>
      <c r="Q30" s="235"/>
    </row>
    <row r="31" spans="1:17" ht="49.5" customHeight="1">
      <c r="A31" s="333" t="s">
        <v>554</v>
      </c>
      <c r="B31" s="336" t="s">
        <v>34</v>
      </c>
      <c r="C31" s="239" t="s">
        <v>1078</v>
      </c>
      <c r="D31" s="205" t="s">
        <v>1079</v>
      </c>
      <c r="E31" s="279" t="s">
        <v>1036</v>
      </c>
      <c r="F31" s="54"/>
      <c r="G31" s="53"/>
      <c r="H31" s="305"/>
      <c r="I31" s="306"/>
      <c r="J31" s="49"/>
      <c r="K31" s="235" t="s">
        <v>672</v>
      </c>
      <c r="L31" s="235" t="s">
        <v>672</v>
      </c>
      <c r="M31" s="235" t="s">
        <v>1060</v>
      </c>
      <c r="N31" s="235" t="s">
        <v>686</v>
      </c>
      <c r="O31" s="299">
        <v>1.6E-2</v>
      </c>
      <c r="P31" s="235" t="str">
        <f>IF(ISBLANK(O31),"",IF(O31=0,"Baja",IF(OR(O31&gt;=10%,ISNUMBER(SEARCH("Política",N31))),"Alta","Media")))</f>
        <v>Media</v>
      </c>
      <c r="Q31" s="235" t="s">
        <v>675</v>
      </c>
    </row>
    <row r="32" spans="1:17" ht="18" customHeight="1">
      <c r="A32" s="334"/>
      <c r="B32" s="336"/>
      <c r="C32" s="239" t="s">
        <v>1064</v>
      </c>
      <c r="D32" s="205" t="s">
        <v>1065</v>
      </c>
      <c r="E32" s="281"/>
      <c r="F32" s="351"/>
      <c r="G32" s="53"/>
      <c r="H32" s="308"/>
      <c r="I32" s="311"/>
      <c r="J32" s="49"/>
      <c r="K32" s="235" t="s">
        <v>672</v>
      </c>
      <c r="L32" s="235" t="s">
        <v>672</v>
      </c>
      <c r="M32" s="235" t="s">
        <v>1060</v>
      </c>
      <c r="N32" s="235" t="s">
        <v>686</v>
      </c>
      <c r="O32" s="299"/>
      <c r="P32" s="235"/>
      <c r="Q32" s="235"/>
    </row>
    <row r="33" spans="1:17" ht="20.45" customHeight="1">
      <c r="A33" s="335"/>
      <c r="B33" s="336"/>
      <c r="C33" s="239" t="s">
        <v>1066</v>
      </c>
      <c r="D33" s="205" t="s">
        <v>1067</v>
      </c>
      <c r="E33" s="280"/>
      <c r="F33" s="360"/>
      <c r="G33" s="53"/>
      <c r="H33" s="310"/>
      <c r="I33" s="313"/>
      <c r="J33" s="49"/>
      <c r="K33" s="235" t="s">
        <v>672</v>
      </c>
      <c r="L33" s="235" t="s">
        <v>672</v>
      </c>
      <c r="M33" s="235" t="s">
        <v>1060</v>
      </c>
      <c r="N33" s="235" t="s">
        <v>686</v>
      </c>
      <c r="O33" s="299"/>
      <c r="P33" s="235"/>
      <c r="Q33" s="235"/>
    </row>
    <row r="34" spans="1:17" ht="44.1" customHeight="1">
      <c r="A34" s="333" t="s">
        <v>554</v>
      </c>
      <c r="B34" s="336" t="s">
        <v>36</v>
      </c>
      <c r="C34" s="239" t="s">
        <v>1080</v>
      </c>
      <c r="D34" s="205" t="s">
        <v>1081</v>
      </c>
      <c r="E34" s="279" t="s">
        <v>1036</v>
      </c>
      <c r="F34" s="54"/>
      <c r="G34" s="53"/>
      <c r="H34" s="305"/>
      <c r="I34" s="306"/>
      <c r="J34" s="49"/>
      <c r="K34" s="235" t="s">
        <v>672</v>
      </c>
      <c r="L34" s="235" t="s">
        <v>672</v>
      </c>
      <c r="M34" s="235" t="s">
        <v>1060</v>
      </c>
      <c r="N34" s="235" t="s">
        <v>686</v>
      </c>
      <c r="O34" s="299">
        <v>1.6E-2</v>
      </c>
      <c r="P34" s="235" t="str">
        <f>IF(ISBLANK(O34),"",IF(O34=0,"Baja",IF(OR(O34&gt;=10%,ISNUMBER(SEARCH("Política",N34))),"Alta","Media")))</f>
        <v>Media</v>
      </c>
      <c r="Q34" s="235" t="s">
        <v>675</v>
      </c>
    </row>
    <row r="35" spans="1:17" ht="18" customHeight="1">
      <c r="A35" s="334"/>
      <c r="B35" s="336"/>
      <c r="C35" s="239" t="s">
        <v>1064</v>
      </c>
      <c r="D35" s="205" t="s">
        <v>1065</v>
      </c>
      <c r="E35" s="281"/>
      <c r="F35" s="351"/>
      <c r="G35" s="53"/>
      <c r="H35" s="308"/>
      <c r="I35" s="311"/>
      <c r="J35" s="49"/>
      <c r="K35" s="235" t="s">
        <v>672</v>
      </c>
      <c r="L35" s="235" t="s">
        <v>672</v>
      </c>
      <c r="M35" s="235" t="s">
        <v>1060</v>
      </c>
      <c r="N35" s="235" t="s">
        <v>686</v>
      </c>
      <c r="O35" s="299"/>
      <c r="P35" s="235"/>
      <c r="Q35" s="235"/>
    </row>
    <row r="36" spans="1:17" ht="20.45" customHeight="1">
      <c r="A36" s="335"/>
      <c r="B36" s="336"/>
      <c r="C36" s="239" t="s">
        <v>1066</v>
      </c>
      <c r="D36" s="205" t="s">
        <v>1059</v>
      </c>
      <c r="E36" s="280"/>
      <c r="F36" s="360"/>
      <c r="G36" s="53"/>
      <c r="H36" s="310"/>
      <c r="I36" s="313"/>
      <c r="J36" s="49"/>
      <c r="K36" s="235" t="s">
        <v>672</v>
      </c>
      <c r="L36" s="235" t="s">
        <v>672</v>
      </c>
      <c r="M36" s="235" t="s">
        <v>1060</v>
      </c>
      <c r="N36" s="235" t="s">
        <v>686</v>
      </c>
      <c r="O36" s="299"/>
      <c r="P36" s="235"/>
      <c r="Q36" s="235"/>
    </row>
    <row r="37" spans="1:17" ht="42.95" customHeight="1">
      <c r="A37" s="333" t="s">
        <v>554</v>
      </c>
      <c r="B37" s="336" t="s">
        <v>38</v>
      </c>
      <c r="C37" s="239" t="s">
        <v>1082</v>
      </c>
      <c r="D37" s="205" t="s">
        <v>1083</v>
      </c>
      <c r="E37" s="279" t="s">
        <v>1036</v>
      </c>
      <c r="F37" s="54"/>
      <c r="G37" s="53"/>
      <c r="H37" s="305"/>
      <c r="I37" s="306"/>
      <c r="J37" s="49"/>
      <c r="K37" s="235" t="s">
        <v>672</v>
      </c>
      <c r="L37" s="235" t="s">
        <v>672</v>
      </c>
      <c r="M37" s="235" t="s">
        <v>1060</v>
      </c>
      <c r="N37" s="235" t="s">
        <v>686</v>
      </c>
      <c r="O37" s="299">
        <v>1.6E-2</v>
      </c>
      <c r="P37" s="235" t="str">
        <f>IF(ISBLANK(O37),"",IF(O37=0,"Baja",IF(OR(O37&gt;=10%,ISNUMBER(SEARCH("Política",N37))),"Alta","Media")))</f>
        <v>Media</v>
      </c>
      <c r="Q37" s="235" t="s">
        <v>675</v>
      </c>
    </row>
    <row r="38" spans="1:17" ht="18" customHeight="1">
      <c r="A38" s="334"/>
      <c r="B38" s="336"/>
      <c r="C38" s="239" t="s">
        <v>1064</v>
      </c>
      <c r="D38" s="205" t="s">
        <v>1065</v>
      </c>
      <c r="E38" s="281"/>
      <c r="F38" s="351"/>
      <c r="G38" s="53"/>
      <c r="H38" s="308"/>
      <c r="I38" s="311"/>
      <c r="J38" s="49"/>
      <c r="K38" s="235" t="s">
        <v>672</v>
      </c>
      <c r="L38" s="235" t="s">
        <v>672</v>
      </c>
      <c r="M38" s="235" t="s">
        <v>1060</v>
      </c>
      <c r="N38" s="235" t="s">
        <v>686</v>
      </c>
      <c r="O38" s="299"/>
      <c r="P38" s="235"/>
      <c r="Q38" s="235"/>
    </row>
    <row r="39" spans="1:17" ht="20.45" customHeight="1">
      <c r="A39" s="335"/>
      <c r="B39" s="336"/>
      <c r="C39" s="239" t="s">
        <v>1066</v>
      </c>
      <c r="D39" s="205" t="s">
        <v>1067</v>
      </c>
      <c r="E39" s="280"/>
      <c r="F39" s="360"/>
      <c r="G39" s="53"/>
      <c r="H39" s="310"/>
      <c r="I39" s="313"/>
      <c r="J39" s="49"/>
      <c r="K39" s="235" t="s">
        <v>672</v>
      </c>
      <c r="L39" s="235" t="s">
        <v>672</v>
      </c>
      <c r="M39" s="235" t="s">
        <v>1060</v>
      </c>
      <c r="N39" s="235" t="s">
        <v>686</v>
      </c>
      <c r="O39" s="299"/>
      <c r="P39" s="235"/>
      <c r="Q39" s="235"/>
    </row>
    <row r="40" spans="1:17" ht="44.45" customHeight="1">
      <c r="A40" s="333" t="s">
        <v>554</v>
      </c>
      <c r="B40" s="336" t="s">
        <v>40</v>
      </c>
      <c r="C40" s="239" t="s">
        <v>1084</v>
      </c>
      <c r="D40" s="205" t="s">
        <v>1085</v>
      </c>
      <c r="E40" s="279" t="s">
        <v>1036</v>
      </c>
      <c r="F40" s="54"/>
      <c r="G40" s="53"/>
      <c r="H40" s="305"/>
      <c r="I40" s="306"/>
      <c r="J40" s="49"/>
      <c r="K40" s="235" t="s">
        <v>672</v>
      </c>
      <c r="L40" s="235" t="s">
        <v>672</v>
      </c>
      <c r="M40" s="235" t="s">
        <v>1060</v>
      </c>
      <c r="N40" s="235" t="s">
        <v>686</v>
      </c>
      <c r="O40" s="299">
        <v>1.6E-2</v>
      </c>
      <c r="P40" s="235" t="str">
        <f>IF(ISBLANK(O40),"",IF(O40=0,"Baja",IF(OR(O40&gt;=10%,ISNUMBER(SEARCH("Política",N40))),"Alta","Media")))</f>
        <v>Media</v>
      </c>
      <c r="Q40" s="235" t="s">
        <v>675</v>
      </c>
    </row>
    <row r="41" spans="1:17" ht="18" customHeight="1">
      <c r="A41" s="334"/>
      <c r="B41" s="336"/>
      <c r="C41" s="239" t="s">
        <v>1064</v>
      </c>
      <c r="D41" s="205" t="s">
        <v>1065</v>
      </c>
      <c r="E41" s="281"/>
      <c r="F41" s="351"/>
      <c r="G41" s="53"/>
      <c r="H41" s="308"/>
      <c r="I41" s="311"/>
      <c r="J41" s="49"/>
      <c r="K41" s="235" t="s">
        <v>672</v>
      </c>
      <c r="L41" s="235" t="s">
        <v>672</v>
      </c>
      <c r="M41" s="235" t="s">
        <v>1060</v>
      </c>
      <c r="N41" s="235" t="s">
        <v>686</v>
      </c>
      <c r="O41" s="299"/>
      <c r="P41" s="235"/>
      <c r="Q41" s="235"/>
    </row>
    <row r="42" spans="1:17" ht="20.45" customHeight="1">
      <c r="A42" s="335"/>
      <c r="B42" s="336"/>
      <c r="C42" s="239" t="s">
        <v>1066</v>
      </c>
      <c r="D42" s="205" t="s">
        <v>1059</v>
      </c>
      <c r="E42" s="280"/>
      <c r="F42" s="360"/>
      <c r="G42" s="53"/>
      <c r="H42" s="310"/>
      <c r="I42" s="313"/>
      <c r="J42" s="49"/>
      <c r="K42" s="235" t="s">
        <v>672</v>
      </c>
      <c r="L42" s="235" t="s">
        <v>672</v>
      </c>
      <c r="M42" s="235" t="s">
        <v>1060</v>
      </c>
      <c r="N42" s="235" t="s">
        <v>686</v>
      </c>
      <c r="O42" s="299"/>
      <c r="P42" s="235"/>
      <c r="Q42" s="235"/>
    </row>
    <row r="43" spans="1:17" ht="50.45" customHeight="1">
      <c r="A43" s="333" t="s">
        <v>554</v>
      </c>
      <c r="B43" s="336" t="s">
        <v>42</v>
      </c>
      <c r="C43" s="239" t="s">
        <v>1086</v>
      </c>
      <c r="D43" s="205" t="s">
        <v>1087</v>
      </c>
      <c r="E43" s="279" t="s">
        <v>1036</v>
      </c>
      <c r="F43" s="54"/>
      <c r="G43" s="53"/>
      <c r="H43" s="305"/>
      <c r="I43" s="306"/>
      <c r="J43" s="49"/>
      <c r="K43" s="235" t="s">
        <v>672</v>
      </c>
      <c r="L43" s="235" t="s">
        <v>672</v>
      </c>
      <c r="M43" s="235" t="s">
        <v>1060</v>
      </c>
      <c r="N43" s="235" t="s">
        <v>686</v>
      </c>
      <c r="O43" s="299">
        <v>1.6E-2</v>
      </c>
      <c r="P43" s="235" t="str">
        <f>IF(ISBLANK(O43),"",IF(O43=0,"Baja",IF(OR(O43&gt;=10%,ISNUMBER(SEARCH("Política",N43))),"Alta","Media")))</f>
        <v>Media</v>
      </c>
      <c r="Q43" s="235" t="s">
        <v>675</v>
      </c>
    </row>
    <row r="44" spans="1:17" ht="18" customHeight="1">
      <c r="A44" s="334"/>
      <c r="B44" s="336"/>
      <c r="C44" s="239" t="s">
        <v>1064</v>
      </c>
      <c r="D44" s="205" t="s">
        <v>1065</v>
      </c>
      <c r="E44" s="281"/>
      <c r="F44" s="351"/>
      <c r="G44" s="53"/>
      <c r="H44" s="308"/>
      <c r="I44" s="311"/>
      <c r="J44" s="49"/>
      <c r="K44" s="235" t="s">
        <v>672</v>
      </c>
      <c r="L44" s="235" t="s">
        <v>672</v>
      </c>
      <c r="M44" s="235" t="s">
        <v>1060</v>
      </c>
      <c r="N44" s="235" t="s">
        <v>686</v>
      </c>
      <c r="O44" s="299"/>
      <c r="P44" s="235"/>
      <c r="Q44" s="235"/>
    </row>
    <row r="45" spans="1:17" ht="20.45" customHeight="1">
      <c r="A45" s="335"/>
      <c r="B45" s="336"/>
      <c r="C45" s="239" t="s">
        <v>1066</v>
      </c>
      <c r="D45" s="205" t="s">
        <v>1067</v>
      </c>
      <c r="E45" s="280"/>
      <c r="F45" s="360"/>
      <c r="G45" s="53"/>
      <c r="H45" s="310"/>
      <c r="I45" s="313"/>
      <c r="J45" s="49"/>
      <c r="K45" s="235" t="s">
        <v>672</v>
      </c>
      <c r="L45" s="235" t="s">
        <v>672</v>
      </c>
      <c r="M45" s="235" t="s">
        <v>1060</v>
      </c>
      <c r="N45" s="235" t="s">
        <v>686</v>
      </c>
      <c r="O45" s="299"/>
      <c r="P45" s="235"/>
      <c r="Q45" s="235"/>
    </row>
    <row r="46" spans="1:17" ht="43.5" customHeight="1">
      <c r="A46" s="333" t="s">
        <v>554</v>
      </c>
      <c r="B46" s="336" t="s">
        <v>44</v>
      </c>
      <c r="C46" s="239" t="s">
        <v>1088</v>
      </c>
      <c r="D46" s="205" t="s">
        <v>1089</v>
      </c>
      <c r="E46" s="279" t="s">
        <v>1036</v>
      </c>
      <c r="F46" s="54"/>
      <c r="G46" s="53"/>
      <c r="H46" s="305"/>
      <c r="I46" s="306"/>
      <c r="J46" s="49"/>
      <c r="K46" s="235" t="s">
        <v>672</v>
      </c>
      <c r="L46" s="235" t="s">
        <v>672</v>
      </c>
      <c r="M46" s="235" t="s">
        <v>1060</v>
      </c>
      <c r="N46" s="235" t="s">
        <v>686</v>
      </c>
      <c r="O46" s="299">
        <v>1.6E-2</v>
      </c>
      <c r="P46" s="235" t="str">
        <f>IF(ISBLANK(O46),"",IF(O46=0,"Baja",IF(OR(O46&gt;=10%,ISNUMBER(SEARCH("Política",N46))),"Alta","Media")))</f>
        <v>Media</v>
      </c>
      <c r="Q46" s="235" t="s">
        <v>675</v>
      </c>
    </row>
    <row r="47" spans="1:17" ht="18" customHeight="1">
      <c r="A47" s="334"/>
      <c r="B47" s="336"/>
      <c r="C47" s="239" t="s">
        <v>1064</v>
      </c>
      <c r="D47" s="205" t="s">
        <v>1065</v>
      </c>
      <c r="E47" s="281"/>
      <c r="F47" s="351"/>
      <c r="G47" s="53"/>
      <c r="H47" s="308"/>
      <c r="I47" s="311"/>
      <c r="J47" s="49"/>
      <c r="K47" s="235" t="s">
        <v>672</v>
      </c>
      <c r="L47" s="235" t="s">
        <v>672</v>
      </c>
      <c r="M47" s="235" t="s">
        <v>1060</v>
      </c>
      <c r="N47" s="235" t="s">
        <v>686</v>
      </c>
      <c r="O47" s="299"/>
      <c r="P47" s="235"/>
      <c r="Q47" s="235"/>
    </row>
    <row r="48" spans="1:17" ht="20.45" customHeight="1">
      <c r="A48" s="335"/>
      <c r="B48" s="336"/>
      <c r="C48" s="239" t="s">
        <v>1066</v>
      </c>
      <c r="D48" s="205" t="s">
        <v>1059</v>
      </c>
      <c r="F48" s="360"/>
      <c r="G48" s="53"/>
      <c r="H48" s="310"/>
      <c r="I48" s="313"/>
      <c r="J48" s="49"/>
      <c r="K48" s="235" t="s">
        <v>672</v>
      </c>
      <c r="L48" s="235" t="s">
        <v>672</v>
      </c>
      <c r="M48" s="235" t="s">
        <v>1060</v>
      </c>
      <c r="N48" s="235" t="s">
        <v>686</v>
      </c>
      <c r="O48" s="299"/>
      <c r="P48" s="235"/>
      <c r="Q48" s="235"/>
    </row>
    <row r="49" spans="1:17" ht="51.6" customHeight="1">
      <c r="A49" s="333" t="s">
        <v>554</v>
      </c>
      <c r="B49" s="336" t="s">
        <v>46</v>
      </c>
      <c r="C49" s="239" t="s">
        <v>1090</v>
      </c>
      <c r="D49" s="205" t="s">
        <v>1091</v>
      </c>
      <c r="E49" s="279" t="s">
        <v>1036</v>
      </c>
      <c r="F49" s="54"/>
      <c r="G49" s="53"/>
      <c r="H49" s="305"/>
      <c r="I49" s="306"/>
      <c r="J49" s="49"/>
      <c r="K49" s="235" t="s">
        <v>672</v>
      </c>
      <c r="L49" s="235" t="s">
        <v>672</v>
      </c>
      <c r="M49" s="235" t="s">
        <v>1060</v>
      </c>
      <c r="N49" s="235" t="s">
        <v>686</v>
      </c>
      <c r="O49" s="299">
        <v>1.6E-2</v>
      </c>
      <c r="P49" s="235" t="str">
        <f>IF(ISBLANK(O49),"",IF(O49=0,"Baja",IF(OR(O49&gt;=10%,ISNUMBER(SEARCH("Política",N49))),"Alta","Media")))</f>
        <v>Media</v>
      </c>
      <c r="Q49" s="235" t="s">
        <v>675</v>
      </c>
    </row>
    <row r="50" spans="1:17" ht="18" customHeight="1">
      <c r="A50" s="334"/>
      <c r="B50" s="336"/>
      <c r="C50" s="239" t="s">
        <v>1064</v>
      </c>
      <c r="D50" s="205" t="s">
        <v>1065</v>
      </c>
      <c r="E50" s="281"/>
      <c r="F50" s="351"/>
      <c r="G50" s="53"/>
      <c r="H50" s="308"/>
      <c r="I50" s="311"/>
      <c r="J50" s="49"/>
      <c r="K50" s="235" t="s">
        <v>672</v>
      </c>
      <c r="L50" s="235" t="s">
        <v>672</v>
      </c>
      <c r="M50" s="235" t="s">
        <v>1060</v>
      </c>
      <c r="N50" s="235" t="s">
        <v>686</v>
      </c>
      <c r="O50" s="299"/>
      <c r="P50" s="235"/>
      <c r="Q50" s="235"/>
    </row>
    <row r="51" spans="1:17" ht="20.45" customHeight="1">
      <c r="A51" s="335"/>
      <c r="B51" s="336"/>
      <c r="C51" s="239" t="s">
        <v>1066</v>
      </c>
      <c r="D51" s="205" t="s">
        <v>1067</v>
      </c>
      <c r="E51" s="280"/>
      <c r="F51" s="360"/>
      <c r="G51" s="53"/>
      <c r="H51" s="310"/>
      <c r="I51" s="313"/>
      <c r="J51" s="49"/>
      <c r="K51" s="235" t="s">
        <v>672</v>
      </c>
      <c r="L51" s="235" t="s">
        <v>672</v>
      </c>
      <c r="M51" s="235" t="s">
        <v>1060</v>
      </c>
      <c r="N51" s="235" t="s">
        <v>686</v>
      </c>
      <c r="O51" s="299"/>
      <c r="P51" s="235"/>
      <c r="Q51" s="235"/>
    </row>
    <row r="52" spans="1:17" ht="45.95" customHeight="1">
      <c r="A52" s="333" t="s">
        <v>554</v>
      </c>
      <c r="B52" s="336" t="s">
        <v>48</v>
      </c>
      <c r="C52" s="239" t="s">
        <v>1092</v>
      </c>
      <c r="D52" s="205" t="s">
        <v>1093</v>
      </c>
      <c r="E52" s="279" t="s">
        <v>1036</v>
      </c>
      <c r="F52" s="54"/>
      <c r="G52" s="53"/>
      <c r="H52" s="305"/>
      <c r="I52" s="306"/>
      <c r="J52" s="49"/>
      <c r="K52" s="235" t="s">
        <v>672</v>
      </c>
      <c r="L52" s="235" t="s">
        <v>672</v>
      </c>
      <c r="M52" s="235" t="s">
        <v>1060</v>
      </c>
      <c r="N52" s="235" t="s">
        <v>686</v>
      </c>
      <c r="O52" s="299">
        <v>1.6E-2</v>
      </c>
      <c r="P52" s="235" t="str">
        <f>IF(ISBLANK(O52),"",IF(O52=0,"Baja",IF(OR(O52&gt;=10%,ISNUMBER(SEARCH("Política",N52))),"Alta","Media")))</f>
        <v>Media</v>
      </c>
      <c r="Q52" s="235" t="s">
        <v>675</v>
      </c>
    </row>
    <row r="53" spans="1:17" ht="18" customHeight="1">
      <c r="A53" s="334"/>
      <c r="B53" s="336"/>
      <c r="C53" s="239" t="s">
        <v>1064</v>
      </c>
      <c r="D53" s="205" t="s">
        <v>1065</v>
      </c>
      <c r="E53" s="281"/>
      <c r="F53" s="351"/>
      <c r="G53" s="53"/>
      <c r="H53" s="308"/>
      <c r="I53" s="311"/>
      <c r="J53" s="49"/>
      <c r="K53" s="235" t="s">
        <v>672</v>
      </c>
      <c r="L53" s="235" t="s">
        <v>672</v>
      </c>
      <c r="M53" s="235" t="s">
        <v>1060</v>
      </c>
      <c r="N53" s="235" t="s">
        <v>686</v>
      </c>
      <c r="O53" s="299"/>
      <c r="P53" s="235"/>
      <c r="Q53" s="235"/>
    </row>
    <row r="54" spans="1:17" ht="20.45" customHeight="1">
      <c r="A54" s="335"/>
      <c r="B54" s="336"/>
      <c r="C54" s="239" t="s">
        <v>1066</v>
      </c>
      <c r="D54" s="205" t="s">
        <v>1059</v>
      </c>
      <c r="E54" s="280"/>
      <c r="F54" s="360"/>
      <c r="G54" s="53"/>
      <c r="H54" s="310"/>
      <c r="I54" s="313"/>
      <c r="J54" s="49"/>
      <c r="K54" s="235" t="s">
        <v>672</v>
      </c>
      <c r="L54" s="235" t="s">
        <v>672</v>
      </c>
      <c r="M54" s="235" t="s">
        <v>1060</v>
      </c>
      <c r="N54" s="235" t="s">
        <v>686</v>
      </c>
      <c r="O54" s="299"/>
      <c r="P54" s="235"/>
      <c r="Q54" s="235"/>
    </row>
    <row r="55" spans="1:17" ht="48.95" customHeight="1">
      <c r="A55" s="333" t="s">
        <v>554</v>
      </c>
      <c r="B55" s="336" t="s">
        <v>50</v>
      </c>
      <c r="C55" s="239" t="s">
        <v>1094</v>
      </c>
      <c r="D55" s="205" t="s">
        <v>1095</v>
      </c>
      <c r="E55" s="279" t="s">
        <v>1036</v>
      </c>
      <c r="F55" s="54"/>
      <c r="G55" s="53"/>
      <c r="H55" s="305"/>
      <c r="I55" s="306"/>
      <c r="J55" s="49"/>
      <c r="K55" s="235" t="s">
        <v>672</v>
      </c>
      <c r="L55" s="235" t="s">
        <v>672</v>
      </c>
      <c r="M55" s="235" t="s">
        <v>1060</v>
      </c>
      <c r="N55" s="235" t="s">
        <v>686</v>
      </c>
      <c r="O55" s="299">
        <v>1.6E-2</v>
      </c>
      <c r="P55" s="235" t="str">
        <f>IF(ISBLANK(O55),"",IF(O55=0,"Baja",IF(OR(O55&gt;=10%,ISNUMBER(SEARCH("Política",N55))),"Alta","Media")))</f>
        <v>Media</v>
      </c>
      <c r="Q55" s="235" t="s">
        <v>675</v>
      </c>
    </row>
    <row r="56" spans="1:17" ht="18" customHeight="1">
      <c r="A56" s="334"/>
      <c r="B56" s="336"/>
      <c r="C56" s="239" t="s">
        <v>1064</v>
      </c>
      <c r="D56" s="205" t="s">
        <v>1065</v>
      </c>
      <c r="E56" s="281"/>
      <c r="F56" s="351"/>
      <c r="G56" s="53"/>
      <c r="H56" s="308"/>
      <c r="I56" s="311"/>
      <c r="J56" s="49"/>
      <c r="K56" s="235" t="s">
        <v>672</v>
      </c>
      <c r="L56" s="235" t="s">
        <v>672</v>
      </c>
      <c r="M56" s="235" t="s">
        <v>1060</v>
      </c>
      <c r="N56" s="235" t="s">
        <v>686</v>
      </c>
      <c r="O56" s="299"/>
      <c r="P56" s="235"/>
      <c r="Q56" s="235"/>
    </row>
    <row r="57" spans="1:17" ht="20.45" customHeight="1">
      <c r="A57" s="335"/>
      <c r="B57" s="336"/>
      <c r="C57" s="239" t="s">
        <v>1066</v>
      </c>
      <c r="D57" s="205" t="s">
        <v>1067</v>
      </c>
      <c r="E57" s="280"/>
      <c r="F57" s="360"/>
      <c r="G57" s="53"/>
      <c r="H57" s="310"/>
      <c r="I57" s="313"/>
      <c r="J57" s="49"/>
      <c r="K57" s="235" t="s">
        <v>672</v>
      </c>
      <c r="L57" s="235" t="s">
        <v>672</v>
      </c>
      <c r="M57" s="235" t="s">
        <v>1060</v>
      </c>
      <c r="N57" s="235" t="s">
        <v>686</v>
      </c>
      <c r="O57" s="299"/>
      <c r="P57" s="235"/>
      <c r="Q57" s="235"/>
    </row>
    <row r="58" spans="1:17" ht="47.45" customHeight="1">
      <c r="A58" s="333" t="s">
        <v>554</v>
      </c>
      <c r="B58" s="336" t="s">
        <v>52</v>
      </c>
      <c r="C58" s="239" t="s">
        <v>1096</v>
      </c>
      <c r="D58" s="205" t="s">
        <v>1097</v>
      </c>
      <c r="E58" s="279" t="s">
        <v>1036</v>
      </c>
      <c r="F58" s="54"/>
      <c r="G58" s="53"/>
      <c r="H58" s="305"/>
      <c r="I58" s="306"/>
      <c r="J58" s="49"/>
      <c r="K58" s="235" t="s">
        <v>672</v>
      </c>
      <c r="L58" s="235" t="s">
        <v>672</v>
      </c>
      <c r="M58" s="235" t="s">
        <v>1060</v>
      </c>
      <c r="N58" s="235" t="s">
        <v>686</v>
      </c>
      <c r="O58" s="299">
        <v>1.6E-2</v>
      </c>
      <c r="P58" s="235" t="str">
        <f>IF(ISBLANK(O58),"",IF(O58=0,"Baja",IF(OR(O58&gt;=10%,ISNUMBER(SEARCH("Política",N58))),"Alta","Media")))</f>
        <v>Media</v>
      </c>
      <c r="Q58" s="235" t="s">
        <v>675</v>
      </c>
    </row>
    <row r="59" spans="1:17" ht="18" customHeight="1">
      <c r="A59" s="334"/>
      <c r="B59" s="336"/>
      <c r="C59" s="239" t="s">
        <v>1064</v>
      </c>
      <c r="D59" s="205" t="s">
        <v>1065</v>
      </c>
      <c r="E59" s="281"/>
      <c r="F59" s="351"/>
      <c r="G59" s="53"/>
      <c r="H59" s="308"/>
      <c r="I59" s="311"/>
      <c r="J59" s="49"/>
      <c r="K59" s="235" t="s">
        <v>672</v>
      </c>
      <c r="L59" s="235" t="s">
        <v>672</v>
      </c>
      <c r="M59" s="235" t="s">
        <v>1060</v>
      </c>
      <c r="N59" s="235" t="s">
        <v>686</v>
      </c>
      <c r="O59" s="299"/>
      <c r="P59" s="235"/>
      <c r="Q59" s="235"/>
    </row>
    <row r="60" spans="1:17" ht="20.45" customHeight="1">
      <c r="A60" s="335"/>
      <c r="B60" s="336"/>
      <c r="C60" s="239" t="s">
        <v>1066</v>
      </c>
      <c r="D60" s="205" t="s">
        <v>1059</v>
      </c>
      <c r="E60" s="280"/>
      <c r="F60" s="360"/>
      <c r="G60" s="53"/>
      <c r="H60" s="310"/>
      <c r="I60" s="313"/>
      <c r="J60" s="49"/>
      <c r="K60" s="235" t="s">
        <v>672</v>
      </c>
      <c r="L60" s="235" t="s">
        <v>672</v>
      </c>
      <c r="M60" s="235" t="s">
        <v>1060</v>
      </c>
      <c r="N60" s="235" t="s">
        <v>686</v>
      </c>
      <c r="O60" s="299"/>
      <c r="P60" s="235"/>
      <c r="Q60" s="235"/>
    </row>
    <row r="61" spans="1:17" ht="48.6" customHeight="1">
      <c r="A61" s="333" t="s">
        <v>554</v>
      </c>
      <c r="B61" s="336" t="s">
        <v>54</v>
      </c>
      <c r="C61" s="239" t="s">
        <v>1098</v>
      </c>
      <c r="D61" s="205" t="s">
        <v>1099</v>
      </c>
      <c r="E61" s="279" t="s">
        <v>1036</v>
      </c>
      <c r="F61" s="54"/>
      <c r="G61" s="53"/>
      <c r="H61" s="305"/>
      <c r="I61" s="306"/>
      <c r="J61" s="49"/>
      <c r="K61" s="235" t="s">
        <v>672</v>
      </c>
      <c r="L61" s="235" t="s">
        <v>672</v>
      </c>
      <c r="M61" s="235" t="s">
        <v>1060</v>
      </c>
      <c r="N61" s="235" t="s">
        <v>686</v>
      </c>
      <c r="O61" s="299">
        <v>1.6E-2</v>
      </c>
      <c r="P61" s="235" t="str">
        <f>IF(ISBLANK(O61),"",IF(O61=0,"Baja",IF(OR(O61&gt;=10%,ISNUMBER(SEARCH("Política",N61))),"Alta","Media")))</f>
        <v>Media</v>
      </c>
      <c r="Q61" s="235" t="s">
        <v>675</v>
      </c>
    </row>
    <row r="62" spans="1:17" ht="18" customHeight="1">
      <c r="A62" s="334"/>
      <c r="B62" s="336"/>
      <c r="C62" s="239" t="s">
        <v>1064</v>
      </c>
      <c r="D62" s="205" t="s">
        <v>1065</v>
      </c>
      <c r="E62" s="281"/>
      <c r="F62" s="351"/>
      <c r="G62" s="53"/>
      <c r="H62" s="308"/>
      <c r="I62" s="311"/>
      <c r="J62" s="49"/>
      <c r="K62" s="235" t="s">
        <v>672</v>
      </c>
      <c r="L62" s="235" t="s">
        <v>672</v>
      </c>
      <c r="M62" s="235" t="s">
        <v>1060</v>
      </c>
      <c r="N62" s="235" t="s">
        <v>686</v>
      </c>
      <c r="O62" s="299"/>
      <c r="P62" s="235"/>
      <c r="Q62" s="235"/>
    </row>
    <row r="63" spans="1:17" ht="20.45" customHeight="1">
      <c r="A63" s="335"/>
      <c r="B63" s="336"/>
      <c r="C63" s="239" t="s">
        <v>1066</v>
      </c>
      <c r="D63" s="205" t="s">
        <v>1059</v>
      </c>
      <c r="E63" s="282"/>
      <c r="F63" s="352"/>
      <c r="G63" s="53"/>
      <c r="H63" s="310"/>
      <c r="I63" s="313"/>
      <c r="J63" s="49"/>
      <c r="K63" s="235" t="s">
        <v>672</v>
      </c>
      <c r="L63" s="235" t="s">
        <v>672</v>
      </c>
      <c r="M63" s="235" t="s">
        <v>1060</v>
      </c>
      <c r="N63" s="235" t="s">
        <v>686</v>
      </c>
      <c r="O63" s="299"/>
      <c r="P63" s="235"/>
      <c r="Q63" s="235"/>
    </row>
    <row r="64" spans="1:17" ht="30">
      <c r="A64" s="47" t="s">
        <v>553</v>
      </c>
      <c r="B64" s="47">
        <v>17.399999999999999</v>
      </c>
      <c r="C64" s="275" t="s">
        <v>56</v>
      </c>
      <c r="D64" s="286" t="s">
        <v>1100</v>
      </c>
      <c r="E64" s="283"/>
      <c r="F64" s="63"/>
      <c r="G64" s="64"/>
      <c r="H64" s="64"/>
      <c r="I64" s="64"/>
      <c r="J64" s="49"/>
      <c r="K64" s="235" t="s">
        <v>672</v>
      </c>
      <c r="L64" s="235" t="s">
        <v>672</v>
      </c>
      <c r="M64" s="235" t="s">
        <v>1101</v>
      </c>
      <c r="N64" s="235" t="s">
        <v>674</v>
      </c>
      <c r="O64" s="299">
        <v>0.27200000000000002</v>
      </c>
      <c r="P64" s="235" t="str">
        <f>IF(ISBLANK(O64),"",IF(O64=0,"Baja",IF(OR(O64&gt;=10%,ISNUMBER(SEARCH("Política",N64))),"Alta","Media")))</f>
        <v>Alta</v>
      </c>
      <c r="Q64" s="235" t="s">
        <v>675</v>
      </c>
    </row>
    <row r="65" spans="1:17" ht="63" customHeight="1">
      <c r="A65" s="333" t="s">
        <v>554</v>
      </c>
      <c r="B65" s="336" t="s">
        <v>57</v>
      </c>
      <c r="C65" s="438" t="s">
        <v>1102</v>
      </c>
      <c r="D65" s="442" t="s">
        <v>1103</v>
      </c>
      <c r="E65" s="279" t="s">
        <v>1036</v>
      </c>
      <c r="F65" s="54"/>
      <c r="G65" s="53"/>
      <c r="H65" s="305"/>
      <c r="I65" s="306"/>
      <c r="J65" s="49"/>
      <c r="K65" s="235" t="s">
        <v>672</v>
      </c>
      <c r="L65" s="235" t="s">
        <v>672</v>
      </c>
      <c r="M65" s="235" t="s">
        <v>1104</v>
      </c>
      <c r="N65" s="235" t="s">
        <v>686</v>
      </c>
      <c r="O65" s="299">
        <v>9.06E-2</v>
      </c>
      <c r="P65" s="235" t="str">
        <f>IF(ISBLANK(O65),"",IF(O65=0,"Baja",IF(OR(O65&gt;=10%,ISNUMBER(SEARCH("Política",N65))),"Alta","Media")))</f>
        <v>Media</v>
      </c>
      <c r="Q65" s="235" t="s">
        <v>675</v>
      </c>
    </row>
    <row r="66" spans="1:17" ht="18" customHeight="1">
      <c r="A66" s="334"/>
      <c r="B66" s="336"/>
      <c r="C66" s="239" t="s">
        <v>1105</v>
      </c>
      <c r="D66" s="205" t="s">
        <v>1106</v>
      </c>
      <c r="E66" s="281"/>
      <c r="F66" s="351"/>
      <c r="G66" s="53"/>
      <c r="H66" s="308"/>
      <c r="I66" s="311"/>
      <c r="J66" s="49"/>
      <c r="K66" s="235" t="s">
        <v>672</v>
      </c>
      <c r="L66" s="235" t="s">
        <v>672</v>
      </c>
      <c r="M66" s="235" t="s">
        <v>1104</v>
      </c>
      <c r="N66" s="235" t="s">
        <v>686</v>
      </c>
      <c r="O66" s="299"/>
      <c r="P66" s="235"/>
      <c r="Q66" s="235"/>
    </row>
    <row r="67" spans="1:17" ht="18" customHeight="1">
      <c r="A67" s="334"/>
      <c r="B67" s="336"/>
      <c r="C67" s="239" t="s">
        <v>1107</v>
      </c>
      <c r="D67" s="205" t="s">
        <v>1108</v>
      </c>
      <c r="E67" s="280"/>
      <c r="F67" s="360"/>
      <c r="G67" s="53"/>
      <c r="H67" s="309"/>
      <c r="I67" s="312"/>
      <c r="J67" s="49"/>
      <c r="K67" s="235" t="s">
        <v>672</v>
      </c>
      <c r="L67" s="235" t="s">
        <v>672</v>
      </c>
      <c r="M67" s="235" t="s">
        <v>1104</v>
      </c>
      <c r="N67" s="235" t="s">
        <v>686</v>
      </c>
      <c r="O67" s="299"/>
      <c r="P67" s="235"/>
      <c r="Q67" s="235"/>
    </row>
    <row r="68" spans="1:17" ht="20.45" customHeight="1">
      <c r="A68" s="335"/>
      <c r="B68" s="336"/>
      <c r="C68" s="239" t="s">
        <v>1109</v>
      </c>
      <c r="D68" s="205" t="s">
        <v>1110</v>
      </c>
      <c r="E68" s="282"/>
      <c r="F68" s="352"/>
      <c r="G68" s="53"/>
      <c r="H68" s="310"/>
      <c r="I68" s="313"/>
      <c r="J68" s="49"/>
      <c r="K68" s="235" t="s">
        <v>672</v>
      </c>
      <c r="L68" s="235" t="s">
        <v>672</v>
      </c>
      <c r="M68" s="235" t="s">
        <v>1104</v>
      </c>
      <c r="N68" s="235" t="s">
        <v>686</v>
      </c>
      <c r="O68" s="299"/>
      <c r="P68" s="235"/>
      <c r="Q68" s="235"/>
    </row>
    <row r="69" spans="1:17" ht="74.25" customHeight="1">
      <c r="A69" s="444" t="s">
        <v>554</v>
      </c>
      <c r="B69" s="445" t="s">
        <v>59</v>
      </c>
      <c r="C69" s="239" t="s">
        <v>1111</v>
      </c>
      <c r="D69" s="205" t="s">
        <v>1112</v>
      </c>
      <c r="E69" s="279" t="s">
        <v>1113</v>
      </c>
      <c r="F69" s="54"/>
      <c r="G69" s="53"/>
      <c r="H69" s="305"/>
      <c r="I69" s="306"/>
      <c r="J69" s="49"/>
      <c r="K69" s="235" t="s">
        <v>672</v>
      </c>
      <c r="L69" s="235" t="s">
        <v>672</v>
      </c>
      <c r="M69" s="235" t="s">
        <v>1114</v>
      </c>
      <c r="N69" s="235" t="s">
        <v>686</v>
      </c>
      <c r="O69" s="299">
        <v>9.06E-2</v>
      </c>
      <c r="P69" s="235" t="str">
        <f>IF(ISBLANK(O69),"",IF(O69=0,"Baja",IF(OR(O69&gt;=10%,ISNUMBER(SEARCH("Política",N69))),"Alta","Media")))</f>
        <v>Media</v>
      </c>
      <c r="Q69" s="235" t="s">
        <v>675</v>
      </c>
    </row>
    <row r="70" spans="1:17" ht="87" customHeight="1">
      <c r="A70" s="446" t="s">
        <v>554</v>
      </c>
      <c r="B70" s="447" t="s">
        <v>61</v>
      </c>
      <c r="C70" s="277" t="s">
        <v>1115</v>
      </c>
      <c r="D70" s="242" t="s">
        <v>1116</v>
      </c>
      <c r="E70" s="281" t="s">
        <v>1117</v>
      </c>
      <c r="F70" s="82"/>
      <c r="G70" s="87"/>
      <c r="H70" s="381"/>
      <c r="I70" s="382"/>
      <c r="J70" s="49"/>
      <c r="K70" s="235" t="s">
        <v>672</v>
      </c>
      <c r="L70" s="235" t="s">
        <v>1118</v>
      </c>
      <c r="M70" s="235" t="s">
        <v>1119</v>
      </c>
      <c r="N70" s="235" t="s">
        <v>686</v>
      </c>
      <c r="O70" s="299">
        <v>9.06E-2</v>
      </c>
      <c r="P70" s="235" t="str">
        <f>IF(ISBLANK(O70),"",IF(O70=0,"Baja",IF(OR(O70&gt;=10%,ISNUMBER(SEARCH("Política",N70))),"Alta","Media")))</f>
        <v>Media</v>
      </c>
      <c r="Q70" s="235" t="s">
        <v>675</v>
      </c>
    </row>
    <row r="71" spans="1:17" ht="30">
      <c r="A71" s="446"/>
      <c r="B71" s="448"/>
      <c r="C71" s="287" t="s">
        <v>1120</v>
      </c>
      <c r="D71" s="56" t="s">
        <v>1121</v>
      </c>
      <c r="F71" s="204"/>
      <c r="G71" s="175"/>
      <c r="H71" s="175"/>
      <c r="I71" s="291"/>
      <c r="J71" s="49"/>
      <c r="K71" s="235" t="s">
        <v>672</v>
      </c>
      <c r="L71" s="235" t="s">
        <v>1118</v>
      </c>
      <c r="M71" s="235" t="s">
        <v>1119</v>
      </c>
      <c r="N71" s="235" t="s">
        <v>686</v>
      </c>
      <c r="O71" s="299"/>
      <c r="P71" s="235"/>
      <c r="Q71" s="235"/>
    </row>
    <row r="72" spans="1:17" ht="30">
      <c r="A72" s="446"/>
      <c r="B72" s="448"/>
      <c r="C72" s="287" t="s">
        <v>1122</v>
      </c>
      <c r="D72" s="242" t="s">
        <v>1123</v>
      </c>
      <c r="F72" s="204"/>
      <c r="G72" s="175"/>
      <c r="H72" s="175"/>
      <c r="I72" s="291"/>
      <c r="J72" s="49"/>
      <c r="K72" s="235" t="s">
        <v>672</v>
      </c>
      <c r="L72" s="235" t="s">
        <v>1118</v>
      </c>
      <c r="M72" s="235" t="s">
        <v>1119</v>
      </c>
      <c r="N72" s="235" t="s">
        <v>686</v>
      </c>
      <c r="O72" s="299"/>
      <c r="P72" s="235"/>
      <c r="Q72" s="235"/>
    </row>
    <row r="73" spans="1:17" ht="24" customHeight="1">
      <c r="A73" s="446"/>
      <c r="B73" s="448"/>
      <c r="C73" s="288" t="s">
        <v>1124</v>
      </c>
      <c r="D73" s="242" t="s">
        <v>1125</v>
      </c>
      <c r="F73" s="204"/>
      <c r="G73" s="227"/>
      <c r="H73" s="227"/>
      <c r="I73" s="292"/>
      <c r="J73" s="49"/>
      <c r="K73" s="235" t="s">
        <v>672</v>
      </c>
      <c r="L73" s="235" t="s">
        <v>1118</v>
      </c>
      <c r="M73" s="235" t="s">
        <v>1119</v>
      </c>
      <c r="N73" s="235" t="s">
        <v>686</v>
      </c>
      <c r="O73" s="299"/>
      <c r="P73" s="235"/>
      <c r="Q73" s="235"/>
    </row>
    <row r="74" spans="1:17" ht="75">
      <c r="B74" s="229" t="s">
        <v>63</v>
      </c>
      <c r="C74" s="238" t="s">
        <v>1126</v>
      </c>
      <c r="D74" s="242" t="s">
        <v>1127</v>
      </c>
      <c r="E74" s="281" t="s">
        <v>1128</v>
      </c>
      <c r="F74" s="228"/>
      <c r="G74" s="49"/>
      <c r="H74" s="49"/>
      <c r="I74" s="272"/>
      <c r="J74" s="49" t="s">
        <v>1129</v>
      </c>
      <c r="K74" s="235" t="s">
        <v>672</v>
      </c>
      <c r="L74" s="235" t="s">
        <v>860</v>
      </c>
      <c r="M74" s="235" t="s">
        <v>672</v>
      </c>
      <c r="N74" s="235" t="s">
        <v>1130</v>
      </c>
      <c r="O74" s="299">
        <v>0</v>
      </c>
      <c r="P74" s="235" t="str">
        <f>IF(ISBLANK(O74),"",IF(O74=0,"Baja",IF(OR(O74&gt;=10%,ISNUMBER(SEARCH("Política",N74))),"Alta","Media")))</f>
        <v>Baja</v>
      </c>
      <c r="Q74" s="235" t="s">
        <v>675</v>
      </c>
    </row>
  </sheetData>
  <mergeCells count="120">
    <mergeCell ref="A1:J1"/>
    <mergeCell ref="B13:B15"/>
    <mergeCell ref="B16:B18"/>
    <mergeCell ref="H16:I16"/>
    <mergeCell ref="F17:F18"/>
    <mergeCell ref="H17:H18"/>
    <mergeCell ref="I17:I18"/>
    <mergeCell ref="B8:B11"/>
    <mergeCell ref="H8:I8"/>
    <mergeCell ref="F9:F11"/>
    <mergeCell ref="H9:H11"/>
    <mergeCell ref="I9:I11"/>
    <mergeCell ref="H13:I13"/>
    <mergeCell ref="F14:F15"/>
    <mergeCell ref="H14:H15"/>
    <mergeCell ref="I14:I15"/>
    <mergeCell ref="B19:B21"/>
    <mergeCell ref="H19:I19"/>
    <mergeCell ref="F20:F21"/>
    <mergeCell ref="H20:H21"/>
    <mergeCell ref="I20:I21"/>
    <mergeCell ref="B22:B24"/>
    <mergeCell ref="H22:I22"/>
    <mergeCell ref="F23:F24"/>
    <mergeCell ref="H23:H24"/>
    <mergeCell ref="I23:I24"/>
    <mergeCell ref="H37:I37"/>
    <mergeCell ref="F44:F45"/>
    <mergeCell ref="H44:H45"/>
    <mergeCell ref="I44:I45"/>
    <mergeCell ref="F38:F39"/>
    <mergeCell ref="H38:H39"/>
    <mergeCell ref="I38:I39"/>
    <mergeCell ref="B34:B36"/>
    <mergeCell ref="H34:I34"/>
    <mergeCell ref="F35:F36"/>
    <mergeCell ref="H35:H36"/>
    <mergeCell ref="I35:I36"/>
    <mergeCell ref="B46:B48"/>
    <mergeCell ref="H46:I46"/>
    <mergeCell ref="F47:F48"/>
    <mergeCell ref="H47:H48"/>
    <mergeCell ref="I47:I48"/>
    <mergeCell ref="B49:B51"/>
    <mergeCell ref="B40:B42"/>
    <mergeCell ref="H40:I40"/>
    <mergeCell ref="F41:F42"/>
    <mergeCell ref="H41:H42"/>
    <mergeCell ref="I41:I42"/>
    <mergeCell ref="H43:I43"/>
    <mergeCell ref="I56:I57"/>
    <mergeCell ref="B52:B54"/>
    <mergeCell ref="H52:I52"/>
    <mergeCell ref="F53:F54"/>
    <mergeCell ref="H53:H54"/>
    <mergeCell ref="I53:I54"/>
    <mergeCell ref="B55:B57"/>
    <mergeCell ref="H49:I49"/>
    <mergeCell ref="F50:F51"/>
    <mergeCell ref="H50:H51"/>
    <mergeCell ref="I50:I51"/>
    <mergeCell ref="A8:A11"/>
    <mergeCell ref="A13:A15"/>
    <mergeCell ref="A16:A18"/>
    <mergeCell ref="A19:A21"/>
    <mergeCell ref="A22:A24"/>
    <mergeCell ref="H70:I70"/>
    <mergeCell ref="H69:I69"/>
    <mergeCell ref="B65:B68"/>
    <mergeCell ref="H65:I65"/>
    <mergeCell ref="F66:F68"/>
    <mergeCell ref="H66:H68"/>
    <mergeCell ref="I66:I68"/>
    <mergeCell ref="H61:I61"/>
    <mergeCell ref="F62:F63"/>
    <mergeCell ref="H62:H63"/>
    <mergeCell ref="I62:I63"/>
    <mergeCell ref="B58:B60"/>
    <mergeCell ref="H58:I58"/>
    <mergeCell ref="F59:F60"/>
    <mergeCell ref="H59:H60"/>
    <mergeCell ref="I59:I60"/>
    <mergeCell ref="H55:I55"/>
    <mergeCell ref="F56:F57"/>
    <mergeCell ref="H56:H57"/>
    <mergeCell ref="F32:F33"/>
    <mergeCell ref="H32:H33"/>
    <mergeCell ref="I32:I33"/>
    <mergeCell ref="B28:B30"/>
    <mergeCell ref="H28:I28"/>
    <mergeCell ref="F29:F30"/>
    <mergeCell ref="H29:H30"/>
    <mergeCell ref="I29:I30"/>
    <mergeCell ref="B25:B27"/>
    <mergeCell ref="H25:I25"/>
    <mergeCell ref="F26:F27"/>
    <mergeCell ref="B43:B45"/>
    <mergeCell ref="B37:B39"/>
    <mergeCell ref="K1:Q1"/>
    <mergeCell ref="H26:H27"/>
    <mergeCell ref="I26:I27"/>
    <mergeCell ref="A70:A73"/>
    <mergeCell ref="B70:B73"/>
    <mergeCell ref="A61:A63"/>
    <mergeCell ref="A65:A68"/>
    <mergeCell ref="A34:A36"/>
    <mergeCell ref="A40:A42"/>
    <mergeCell ref="A37:A39"/>
    <mergeCell ref="A43:A45"/>
    <mergeCell ref="A46:A48"/>
    <mergeCell ref="A49:A51"/>
    <mergeCell ref="A52:A54"/>
    <mergeCell ref="A55:A57"/>
    <mergeCell ref="A58:A60"/>
    <mergeCell ref="B61:B63"/>
    <mergeCell ref="A25:A27"/>
    <mergeCell ref="A28:A30"/>
    <mergeCell ref="A31:A33"/>
    <mergeCell ref="B31:B33"/>
    <mergeCell ref="H31:I31"/>
  </mergeCells>
  <conditionalFormatting sqref="P3:P74">
    <cfRule type="expression" dxfId="13" priority="5">
      <formula>P3="Alta"</formula>
    </cfRule>
    <cfRule type="expression" dxfId="12" priority="6">
      <formula>P3="Media"</formula>
    </cfRule>
    <cfRule type="expression" dxfId="11" priority="7">
      <formula>P3="Baja"</formula>
    </cfRule>
  </conditionalFormatting>
  <conditionalFormatting sqref="Q3:Q74">
    <cfRule type="expression" dxfId="10" priority="1">
      <formula>Q3="Pendiente"</formula>
    </cfRule>
    <cfRule type="expression" dxfId="9" priority="2">
      <formula>Q3="En gestión"</formula>
    </cfRule>
    <cfRule type="expression" dxfId="8" priority="3">
      <formula>Q3="Por validar"</formula>
    </cfRule>
    <cfRule type="expression" dxfId="7" priority="4">
      <formula>Q3="Completo"</formula>
    </cfRule>
  </conditionalFormatting>
  <dataValidations count="1">
    <dataValidation type="list" sqref="Q3:Q74" xr:uid="{00000000-0002-0000-1200-000000000000}">
      <formula1>"Pendiente,En gestión,Por validar,Completo"</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72"/>
  <sheetViews>
    <sheetView workbookViewId="0"/>
  </sheetViews>
  <sheetFormatPr defaultColWidth="9.140625" defaultRowHeight="15"/>
  <cols>
    <col min="1" max="1" width="10" customWidth="1"/>
    <col min="2" max="2" width="12" customWidth="1"/>
    <col min="3" max="3" width="42" customWidth="1"/>
    <col min="4" max="4" width="12" customWidth="1"/>
    <col min="5" max="5" width="27" customWidth="1"/>
    <col min="6" max="6" width="23" customWidth="1"/>
    <col min="7" max="7" width="28" customWidth="1"/>
    <col min="8" max="8" width="38" customWidth="1"/>
    <col min="9" max="9" width="12" customWidth="1"/>
    <col min="10" max="10" width="15" customWidth="1"/>
    <col min="11" max="11" width="16" customWidth="1"/>
    <col min="12" max="12" width="14" customWidth="1"/>
    <col min="13" max="13" width="34" customWidth="1"/>
    <col min="14" max="14" width="10" customWidth="1"/>
    <col min="15" max="15" width="34" customWidth="1"/>
  </cols>
  <sheetData>
    <row r="1" spans="1:15" ht="21">
      <c r="A1" s="425" t="s">
        <v>1131</v>
      </c>
      <c r="B1" s="425"/>
      <c r="C1" s="425"/>
      <c r="D1" s="425"/>
      <c r="E1" s="425"/>
      <c r="F1" s="425"/>
      <c r="G1" s="425"/>
      <c r="H1" s="425"/>
      <c r="I1" s="425"/>
      <c r="J1" s="425"/>
      <c r="K1" s="425"/>
      <c r="L1" s="425"/>
      <c r="M1" s="425"/>
      <c r="N1" s="425"/>
      <c r="O1" s="425"/>
    </row>
    <row r="2" spans="1:15">
      <c r="A2" s="426" t="s">
        <v>1132</v>
      </c>
      <c r="B2" s="426"/>
      <c r="C2" s="426"/>
      <c r="D2" s="426"/>
      <c r="E2" s="426"/>
      <c r="F2" s="426"/>
      <c r="G2" s="426"/>
      <c r="H2" s="426"/>
      <c r="I2" s="426"/>
      <c r="J2" s="426"/>
      <c r="K2" s="426"/>
      <c r="L2" s="426"/>
      <c r="M2" s="426"/>
      <c r="N2" s="426"/>
      <c r="O2" s="426"/>
    </row>
    <row r="3" spans="1:15">
      <c r="A3" s="427" t="s">
        <v>1133</v>
      </c>
      <c r="B3" s="427"/>
      <c r="C3" s="427"/>
      <c r="D3" s="427"/>
      <c r="E3" s="427"/>
      <c r="F3" s="427"/>
      <c r="G3" s="427"/>
      <c r="H3" s="427"/>
      <c r="I3" s="427"/>
      <c r="J3" s="427"/>
      <c r="K3" s="427"/>
      <c r="L3" s="427"/>
      <c r="M3" s="427"/>
      <c r="N3" s="427"/>
      <c r="O3" s="427"/>
    </row>
    <row r="4" spans="1:15">
      <c r="A4" s="429" t="s">
        <v>1134</v>
      </c>
      <c r="B4" s="429"/>
      <c r="C4" s="429"/>
      <c r="D4" s="429"/>
      <c r="E4" s="429"/>
      <c r="F4" s="429"/>
      <c r="G4" s="429"/>
      <c r="H4" s="429"/>
      <c r="I4" s="429"/>
      <c r="J4" s="429"/>
      <c r="K4" s="429"/>
      <c r="L4" s="429"/>
      <c r="M4" s="429"/>
      <c r="N4" s="429"/>
      <c r="O4" s="429"/>
    </row>
    <row r="5" spans="1:15">
      <c r="A5" s="300" t="s">
        <v>1135</v>
      </c>
      <c r="C5" s="300" t="s">
        <v>1136</v>
      </c>
      <c r="E5" s="300" t="s">
        <v>1137</v>
      </c>
      <c r="G5" s="300" t="s">
        <v>1138</v>
      </c>
      <c r="I5" s="300" t="s">
        <v>1139</v>
      </c>
      <c r="K5" s="428" t="s">
        <v>1140</v>
      </c>
      <c r="L5" s="449"/>
      <c r="M5" s="449"/>
      <c r="N5" s="449"/>
      <c r="O5" s="449"/>
    </row>
    <row r="6" spans="1:15" ht="18.75">
      <c r="A6" s="301">
        <f>COUNTA(B9:B72)</f>
        <v>64</v>
      </c>
      <c r="C6" s="301">
        <f>COUNTIF(I9:I72,"Alta")</f>
        <v>19</v>
      </c>
      <c r="E6" s="301">
        <f>COUNTIF(I9:I72,"Media")</f>
        <v>44</v>
      </c>
      <c r="G6" s="301">
        <f>COUNTIF(I9:I72,"Baja")</f>
        <v>1</v>
      </c>
      <c r="I6" s="301">
        <f>COUNTIF(J9:J72,"Completo")</f>
        <v>0</v>
      </c>
      <c r="K6" s="449" t="s">
        <v>1141</v>
      </c>
      <c r="L6" s="449"/>
      <c r="M6" s="449"/>
      <c r="N6" s="449"/>
      <c r="O6" s="449"/>
    </row>
    <row r="8" spans="1:15">
      <c r="A8" s="298" t="s">
        <v>1142</v>
      </c>
      <c r="B8" s="298" t="s">
        <v>1143</v>
      </c>
      <c r="C8" s="298" t="s">
        <v>1144</v>
      </c>
      <c r="D8" s="298" t="s">
        <v>1145</v>
      </c>
      <c r="E8" s="298" t="s">
        <v>666</v>
      </c>
      <c r="F8" s="298" t="s">
        <v>1146</v>
      </c>
      <c r="G8" s="298" t="s">
        <v>1147</v>
      </c>
      <c r="H8" s="298" t="s">
        <v>665</v>
      </c>
      <c r="I8" s="298" t="s">
        <v>668</v>
      </c>
      <c r="J8" s="298" t="s">
        <v>669</v>
      </c>
      <c r="K8" s="298" t="s">
        <v>1148</v>
      </c>
      <c r="L8" s="298" t="s">
        <v>1149</v>
      </c>
      <c r="M8" s="298" t="s">
        <v>1150</v>
      </c>
      <c r="N8" s="298" t="s">
        <v>1151</v>
      </c>
      <c r="O8" s="298" t="s">
        <v>1152</v>
      </c>
    </row>
    <row r="9" spans="1:15" ht="30">
      <c r="A9" s="235" t="str">
        <f t="shared" ref="A9:A15" si="0">"ODS 4"</f>
        <v>ODS 4</v>
      </c>
      <c r="B9" s="235" t="str">
        <f>'SDG4'!B4</f>
        <v>4.2.1</v>
      </c>
      <c r="C9" s="235" t="str">
        <f>'SDG4'!D4</f>
        <v>Proporción de titulados con cualificación pertinente para la docencia</v>
      </c>
      <c r="D9" s="299">
        <f>'SDG4'!O4</f>
        <v>0.154</v>
      </c>
      <c r="E9" s="235" t="str">
        <f>'SDG4'!N4</f>
        <v>Dato cuantitativo 2024</v>
      </c>
      <c r="F9" s="235" t="str">
        <f>'SDG4'!K4</f>
        <v>Planeación Institucional</v>
      </c>
      <c r="G9" s="235" t="str">
        <f>IF('SDG4'!L4="","",'SDG4'!L4)</f>
        <v>Planeación Institucional</v>
      </c>
      <c r="H9" s="235" t="str">
        <f>IF('SDG4'!M4="","",'SDG4'!M4)</f>
        <v>Registro y Control Académico / Vicerrectoría de Enseñanza</v>
      </c>
      <c r="I9" s="235" t="str">
        <f>'SDG4'!P4</f>
        <v>Alta</v>
      </c>
      <c r="J9" s="235" t="str">
        <f>'SDG4'!Q4</f>
        <v>Pendiente</v>
      </c>
      <c r="K9" s="235" t="str">
        <f>IF('SDG4'!F4="","",'SDG4'!F4)</f>
        <v/>
      </c>
      <c r="L9" s="235" t="str">
        <f>IF('SDG4'!G4="","",'SDG4'!G4)</f>
        <v/>
      </c>
      <c r="M9" s="235" t="str">
        <f>IF('SDG4'!H4="","",'SDG4'!H4)</f>
        <v/>
      </c>
      <c r="N9" s="235" t="str">
        <f>IF('SDG4'!I4="","",'SDG4'!I4)</f>
        <v/>
      </c>
      <c r="O9" s="235" t="str">
        <f>IF('SDG4'!J4="","",'SDG4'!J4)</f>
        <v/>
      </c>
    </row>
    <row r="10" spans="1:15" ht="60">
      <c r="A10" s="235" t="str">
        <f t="shared" si="0"/>
        <v>ODS 4</v>
      </c>
      <c r="B10" s="235" t="str">
        <f>'SDG4'!B8</f>
        <v>4.3.1</v>
      </c>
      <c r="C10" s="235" t="str">
        <f>'SDG4'!D8</f>
        <v>Recursos públicos (aprendizaje permanente)
Proporcionar acceso gratuito a recursos educativos para aquellos que no estudian en la universidad.</v>
      </c>
      <c r="D10" s="299">
        <f>'SDG4'!O8</f>
        <v>0.05</v>
      </c>
      <c r="E10" s="235" t="str">
        <f>'SDG4'!N8</f>
        <v>Evidencia pública</v>
      </c>
      <c r="F10" s="235" t="str">
        <f>'SDG4'!K8</f>
        <v>Planeación Institucional</v>
      </c>
      <c r="G10" s="235" t="str">
        <f>IF('SDG4'!L8="","",'SDG4'!L8)</f>
        <v>EDUCON</v>
      </c>
      <c r="H10" s="235" t="str">
        <f>IF('SDG4'!M8="","",'SDG4'!M8)</f>
        <v>Campus Virtual UDES / Biblioteca</v>
      </c>
      <c r="I10" s="235" t="str">
        <f>'SDG4'!P8</f>
        <v>Media</v>
      </c>
      <c r="J10" s="235" t="str">
        <f>'SDG4'!Q8</f>
        <v>Pendiente</v>
      </c>
      <c r="K10" s="235" t="str">
        <f>IF('SDG4'!F8="","",'SDG4'!F8)</f>
        <v/>
      </c>
      <c r="L10" s="235" t="str">
        <f>IF('SDG4'!G8="","",'SDG4'!G8)</f>
        <v/>
      </c>
      <c r="M10" s="235" t="str">
        <f>IF('SDG4'!H8="","",'SDG4'!H8)</f>
        <v/>
      </c>
      <c r="N10" s="235" t="str">
        <f>IF('SDG4'!I8="","",'SDG4'!I8)</f>
        <v/>
      </c>
      <c r="O10" s="235" t="str">
        <f>IF('SDG4'!J8="","",'SDG4'!J8)</f>
        <v/>
      </c>
    </row>
    <row r="11" spans="1:15" ht="60">
      <c r="A11" s="235" t="str">
        <f t="shared" si="0"/>
        <v>ODS 4</v>
      </c>
      <c r="B11" s="235" t="str">
        <f>'SDG4'!B12</f>
        <v>4.3.2</v>
      </c>
      <c r="C11" s="235" t="str">
        <f>'SDG4'!D12</f>
        <v>Eventos públicos (aprendizaje permanente)
Organice eventos educativos en la universidad que estén abiertos al público en general.</v>
      </c>
      <c r="D11" s="299">
        <f>'SDG4'!O12</f>
        <v>0.05</v>
      </c>
      <c r="E11" s="235" t="str">
        <f>'SDG4'!N12</f>
        <v>Evidencia pública</v>
      </c>
      <c r="F11" s="235" t="str">
        <f>'SDG4'!K12</f>
        <v>Planeación Institucional</v>
      </c>
      <c r="G11" s="235" t="str">
        <f>IF('SDG4'!L12="","",'SDG4'!L12)</f>
        <v>EDUCON / Graduados</v>
      </c>
      <c r="H11" s="235" t="str">
        <f>IF('SDG4'!M12="","",'SDG4'!M12)</f>
        <v>Comunicaciones / Biblioteca / Programas / Campus Virtual UDES / Talento Humano</v>
      </c>
      <c r="I11" s="235" t="str">
        <f>'SDG4'!P12</f>
        <v>Media</v>
      </c>
      <c r="J11" s="235" t="str">
        <f>'SDG4'!Q12</f>
        <v>Pendiente</v>
      </c>
      <c r="K11" s="235" t="str">
        <f>IF('SDG4'!F12="","",'SDG4'!F12)</f>
        <v/>
      </c>
      <c r="L11" s="235" t="str">
        <f>IF('SDG4'!G12="","",'SDG4'!G12)</f>
        <v/>
      </c>
      <c r="M11" s="235" t="str">
        <f>IF('SDG4'!H12="","",'SDG4'!H12)</f>
        <v/>
      </c>
      <c r="N11" s="235" t="str">
        <f>IF('SDG4'!I12="","",'SDG4'!I12)</f>
        <v/>
      </c>
      <c r="O11" s="235" t="str">
        <f>IF('SDG4'!J12="","",'SDG4'!J12)</f>
        <v/>
      </c>
    </row>
    <row r="12" spans="1:15" ht="120">
      <c r="A12" s="235" t="str">
        <f t="shared" si="0"/>
        <v>ODS 4</v>
      </c>
      <c r="B12" s="235" t="str">
        <f>'SDG4'!B15</f>
        <v>4.3.3</v>
      </c>
      <c r="C12" s="235" t="str">
        <f>'SDG4'!D15</f>
        <v>Eventos de formación profesional (aprendizaje permanente)
Organizar eventos en la universidad abiertos al público en general: programas de educación ejecutiva (esto se refiere a cursos cortos para personas que no asisten a la universidad; esto excluye específicamente cursos como MBA) y/o formación profesional.</v>
      </c>
      <c r="D12" s="299">
        <f>'SDG4'!O15</f>
        <v>0.05</v>
      </c>
      <c r="E12" s="235" t="str">
        <f>'SDG4'!N15</f>
        <v>Evidencia pública</v>
      </c>
      <c r="F12" s="235" t="str">
        <f>'SDG4'!K15</f>
        <v>Planeación Institucional</v>
      </c>
      <c r="G12" s="235" t="str">
        <f>IF('SDG4'!L15="","",'SDG4'!L15)</f>
        <v>EDUCON / Graduados</v>
      </c>
      <c r="H12" s="235" t="str">
        <f>IF('SDG4'!M15="","",'SDG4'!M15)</f>
        <v>Desarrollo Profesoral / Comunicaciones / Biblioteca / Programas / Campus Virtual UDES / Talento Humano</v>
      </c>
      <c r="I12" s="235" t="str">
        <f>'SDG4'!P15</f>
        <v>Media</v>
      </c>
      <c r="J12" s="235" t="str">
        <f>'SDG4'!Q15</f>
        <v>Pendiente</v>
      </c>
      <c r="K12" s="235" t="str">
        <f>IF('SDG4'!F15="","",'SDG4'!F15)</f>
        <v/>
      </c>
      <c r="L12" s="235" t="str">
        <f>IF('SDG4'!G15="","",'SDG4'!G15)</f>
        <v/>
      </c>
      <c r="M12" s="235" t="str">
        <f>IF('SDG4'!H15="","",'SDG4'!H15)</f>
        <v/>
      </c>
      <c r="N12" s="235" t="str">
        <f>IF('SDG4'!I15="","",'SDG4'!I15)</f>
        <v/>
      </c>
      <c r="O12" s="235" t="str">
        <f>IF('SDG4'!J15="","",'SDG4'!J15)</f>
        <v/>
      </c>
    </row>
    <row r="13" spans="1:15" ht="120">
      <c r="A13" s="235" t="str">
        <f t="shared" si="0"/>
        <v>ODS 4</v>
      </c>
      <c r="B13" s="235" t="str">
        <f>'SDG4'!B18</f>
        <v>4.3.4</v>
      </c>
      <c r="C13" s="235" t="str">
        <f>'SDG4'!D18</f>
        <v>Actividades de divulgación educativa más allá del campus
Emprender actividades de divulgación educativa (por ejemplo, conferencias o demostraciones personalizadas) más allá del campus, en las escuelas locales, en la comunidad. Esto puede incluir esquemas voluntarios dirigidos por estudiantes.</v>
      </c>
      <c r="D13" s="299">
        <f>'SDG4'!O18</f>
        <v>0.05</v>
      </c>
      <c r="E13" s="235" t="str">
        <f>'SDG4'!N18</f>
        <v>Evidencia pública</v>
      </c>
      <c r="F13" s="235" t="str">
        <f>'SDG4'!K18</f>
        <v>Planeación Institucional</v>
      </c>
      <c r="G13" s="235" t="str">
        <f>IF('SDG4'!L18="","",'SDG4'!L18)</f>
        <v>EDUCON / Graduados</v>
      </c>
      <c r="H13" s="235" t="str">
        <f>IF('SDG4'!M18="","",'SDG4'!M18)</f>
        <v>Desarrollo Profesoral / Comunicaciones / Biblioteca / Programas / Campus Virtual UDES / Talento Humano</v>
      </c>
      <c r="I13" s="235" t="str">
        <f>'SDG4'!P18</f>
        <v>Media</v>
      </c>
      <c r="J13" s="235" t="str">
        <f>'SDG4'!Q18</f>
        <v>Pendiente</v>
      </c>
      <c r="K13" s="235" t="str">
        <f>IF('SDG4'!F18="","",'SDG4'!F18)</f>
        <v/>
      </c>
      <c r="L13" s="235" t="str">
        <f>IF('SDG4'!G18="","",'SDG4'!G18)</f>
        <v/>
      </c>
      <c r="M13" s="235" t="str">
        <f>IF('SDG4'!H18="","",'SDG4'!H18)</f>
        <v/>
      </c>
      <c r="N13" s="235" t="str">
        <f>IF('SDG4'!I18="","",'SDG4'!I18)</f>
        <v/>
      </c>
      <c r="O13" s="235" t="str">
        <f>IF('SDG4'!J18="","",'SDG4'!J18)</f>
        <v/>
      </c>
    </row>
    <row r="14" spans="1:15" ht="90">
      <c r="A14" s="235" t="str">
        <f t="shared" si="0"/>
        <v>ODS 4</v>
      </c>
      <c r="B14" s="235" t="str">
        <f>'SDG4'!B21</f>
        <v>4.3.5</v>
      </c>
      <c r="C14" s="235" t="str">
        <f>'SDG4'!D21</f>
        <v>Política de acceso al aprendizaje permanente
Una política que garantice que el acceso a estas actividades sea accesible para todos, independientemente de su origen étnico, religión, discapacidad, estado migratorio o género.</v>
      </c>
      <c r="D14" s="299">
        <f>'SDG4'!O21</f>
        <v>6.8000000000000005E-2</v>
      </c>
      <c r="E14" s="235" t="str">
        <f>'SDG4'!N21</f>
        <v>Política / evidencia pública</v>
      </c>
      <c r="F14" s="235" t="str">
        <f>'SDG4'!K21</f>
        <v>Planeación Institucional</v>
      </c>
      <c r="G14" s="235" t="str">
        <f>IF('SDG4'!L21="","",'SDG4'!L21)</f>
        <v>Vicerrectoría de Enseñanza</v>
      </c>
      <c r="H14" s="235" t="str">
        <f>IF('SDG4'!M21="","",'SDG4'!M21)</f>
        <v>Vicerrectoría de Extensión</v>
      </c>
      <c r="I14" s="235" t="str">
        <f>'SDG4'!P21</f>
        <v>Alta</v>
      </c>
      <c r="J14" s="235" t="str">
        <f>'SDG4'!Q21</f>
        <v>Pendiente</v>
      </c>
      <c r="K14" s="235" t="str">
        <f>IF('SDG4'!F21="","",'SDG4'!F21)</f>
        <v/>
      </c>
      <c r="L14" s="235" t="str">
        <f>IF('SDG4'!G21="","",'SDG4'!G21)</f>
        <v/>
      </c>
      <c r="M14" s="235" t="str">
        <f>IF('SDG4'!H21="","",'SDG4'!H21)</f>
        <v/>
      </c>
      <c r="N14" s="235" t="str">
        <f>IF('SDG4'!I21="","",'SDG4'!I21)</f>
        <v/>
      </c>
      <c r="O14" s="235" t="str">
        <f>IF('SDG4'!J21="","",'SDG4'!J21)</f>
        <v/>
      </c>
    </row>
    <row r="15" spans="1:15" ht="30">
      <c r="A15" s="235" t="str">
        <f t="shared" si="0"/>
        <v>ODS 4</v>
      </c>
      <c r="B15" s="235" t="str">
        <f>'SDG4'!B23</f>
        <v>4.4.1</v>
      </c>
      <c r="C15" s="235" t="str">
        <f>'SDG4'!D23</f>
        <v>Proporción de estudiantes de primera generación</v>
      </c>
      <c r="D15" s="299">
        <f>'SDG4'!O23</f>
        <v>0.308</v>
      </c>
      <c r="E15" s="235" t="str">
        <f>'SDG4'!N23</f>
        <v>Dato cuantitativo 2024</v>
      </c>
      <c r="F15" s="235" t="str">
        <f>'SDG4'!K23</f>
        <v>Planeación Institucional</v>
      </c>
      <c r="G15" s="235" t="str">
        <f>IF('SDG4'!L23="","",'SDG4'!L23)</f>
        <v>Planeación Institucional</v>
      </c>
      <c r="H15" s="235" t="str">
        <f>IF('SDG4'!M23="","",'SDG4'!M23)</f>
        <v>Registro y Control Académico</v>
      </c>
      <c r="I15" s="235" t="str">
        <f>'SDG4'!P23</f>
        <v>Alta</v>
      </c>
      <c r="J15" s="235" t="str">
        <f>'SDG4'!Q23</f>
        <v>Pendiente</v>
      </c>
      <c r="K15" s="235" t="str">
        <f>IF('SDG4'!F23="","",'SDG4'!F23)</f>
        <v/>
      </c>
      <c r="L15" s="235" t="str">
        <f>IF('SDG4'!G23="","",'SDG4'!G23)</f>
        <v/>
      </c>
      <c r="M15" s="235" t="str">
        <f>IF('SDG4'!H23="","",'SDG4'!H23)</f>
        <v/>
      </c>
      <c r="N15" s="235" t="str">
        <f>IF('SDG4'!I23="","",'SDG4'!I23)</f>
        <v/>
      </c>
      <c r="O15" s="235" t="str">
        <f>IF('SDG4'!J23="","",'SDG4'!J23)</f>
        <v/>
      </c>
    </row>
    <row r="16" spans="1:15" ht="30">
      <c r="A16" s="235" t="str">
        <f t="shared" ref="A16:A31" si="1">"ODS 5"</f>
        <v>ODS 5</v>
      </c>
      <c r="B16" s="235" t="str">
        <f>'SDG5'!B4</f>
        <v>5.2.1</v>
      </c>
      <c r="C16" s="235" t="str">
        <f>'SDG5'!D4</f>
        <v>Proporción de mujeres de primera generación</v>
      </c>
      <c r="D16" s="299">
        <f>'SDG5'!O4</f>
        <v>0.154</v>
      </c>
      <c r="E16" s="235" t="str">
        <f>'SDG5'!N4</f>
        <v>Dato cuantitativo 2024</v>
      </c>
      <c r="F16" s="235" t="str">
        <f>'SDG5'!K4</f>
        <v>Planeación Institucional</v>
      </c>
      <c r="G16" s="235" t="str">
        <f>IF('SDG5'!L4="","",'SDG5'!L4)</f>
        <v>Planeación Institucional</v>
      </c>
      <c r="H16" s="235" t="str">
        <f>IF('SDG5'!M4="","",'SDG5'!M4)</f>
        <v>Registro y Control Académico</v>
      </c>
      <c r="I16" s="235" t="str">
        <f>'SDG5'!P4</f>
        <v>Alta</v>
      </c>
      <c r="J16" s="235" t="str">
        <f>'SDG5'!Q4</f>
        <v>Pendiente</v>
      </c>
      <c r="K16" s="235" t="str">
        <f>IF('SDG5'!F4="","",'SDG5'!F4)</f>
        <v/>
      </c>
      <c r="L16" s="235" t="str">
        <f>IF('SDG5'!G4="","",'SDG5'!G4)</f>
        <v/>
      </c>
      <c r="M16" s="235" t="str">
        <f>IF('SDG5'!H4="","",'SDG5'!H4)</f>
        <v/>
      </c>
      <c r="N16" s="235" t="str">
        <f>IF('SDG5'!I4="","",'SDG5'!I4)</f>
        <v/>
      </c>
      <c r="O16" s="235" t="str">
        <f>IF('SDG5'!J4="","",'SDG5'!J4)</f>
        <v/>
      </c>
    </row>
    <row r="17" spans="1:15" ht="60">
      <c r="A17" s="235" t="str">
        <f t="shared" si="1"/>
        <v>ODS 5</v>
      </c>
      <c r="B17" s="235" t="str">
        <f>'SDG5'!B8</f>
        <v>5.3.1</v>
      </c>
      <c r="C17" s="235" t="str">
        <f>'SDG5'!D8</f>
        <v>Seguimiento de las medidas de acceso
Medir y rastrear sistemáticamente la tasa de solicitud, aceptación o entrada de las mujeres.</v>
      </c>
      <c r="D17" s="299">
        <f>'SDG5'!O8</f>
        <v>1.6E-2</v>
      </c>
      <c r="E17" s="235" t="str">
        <f>'SDG5'!N8</f>
        <v>Evidencia pública</v>
      </c>
      <c r="F17" s="235" t="str">
        <f>'SDG5'!K8</f>
        <v>Planeación Institucional</v>
      </c>
      <c r="G17" s="235" t="str">
        <f>IF('SDG5'!L8="","",'SDG5'!L8)</f>
        <v>Planeación Institucional</v>
      </c>
      <c r="H17" s="235" t="str">
        <f>IF('SDG5'!M8="","",'SDG5'!M8)</f>
        <v>Vicerrectoría de Enseñanza / Registro y Control Académico</v>
      </c>
      <c r="I17" s="235" t="str">
        <f>'SDG5'!P8</f>
        <v>Media</v>
      </c>
      <c r="J17" s="235" t="str">
        <f>'SDG5'!Q8</f>
        <v>Pendiente</v>
      </c>
      <c r="K17" s="235" t="str">
        <f>IF('SDG5'!F8="","",'SDG5'!F8)</f>
        <v/>
      </c>
      <c r="L17" s="235" t="str">
        <f>IF('SDG5'!G8="","",'SDG5'!G8)</f>
        <v/>
      </c>
      <c r="M17" s="235" t="str">
        <f>IF('SDG5'!H8="","",'SDG5'!H8)</f>
        <v/>
      </c>
      <c r="N17" s="235" t="str">
        <f>IF('SDG5'!I8="","",'SDG5'!I8)</f>
        <v/>
      </c>
      <c r="O17" s="235" t="str">
        <f>IF('SDG5'!J8="","",'SDG5'!J8)</f>
        <v/>
      </c>
    </row>
    <row r="18" spans="1:15" ht="105">
      <c r="A18" s="235" t="str">
        <f t="shared" si="1"/>
        <v>ODS 5</v>
      </c>
      <c r="B18" s="235" t="str">
        <f>'SDG5'!B9</f>
        <v>5.3.2</v>
      </c>
      <c r="C18" s="235" t="str">
        <f>'SDG5'!D9</f>
        <v>Política para las solicitudes y la entrada de mujeres
Tener una política (por ejemplo, un plan de acceso y participación) que aborde las solicitudes, la aceptación, el ingreso y la participación de las mujeres en la universidad.</v>
      </c>
      <c r="D18" s="299">
        <f>'SDG5'!O9</f>
        <v>4.5999999999999999E-2</v>
      </c>
      <c r="E18" s="235" t="str">
        <f>'SDG5'!N9</f>
        <v>Política / evidencia pública</v>
      </c>
      <c r="F18" s="235" t="str">
        <f>'SDG5'!K9</f>
        <v>Planeación Institucional</v>
      </c>
      <c r="G18" s="235" t="str">
        <f>IF('SDG5'!L9="","",'SDG5'!L9)</f>
        <v>Planeación Institucional</v>
      </c>
      <c r="H18" s="235" t="str">
        <f>IF('SDG5'!M9="","",'SDG5'!M9)</f>
        <v>Vicerrectoría de Enseñanza</v>
      </c>
      <c r="I18" s="235" t="str">
        <f>'SDG5'!P9</f>
        <v>Alta</v>
      </c>
      <c r="J18" s="235" t="str">
        <f>'SDG5'!Q9</f>
        <v>Pendiente</v>
      </c>
      <c r="K18" s="235" t="str">
        <f>IF('SDG5'!F9="","",'SDG5'!F9)</f>
        <v/>
      </c>
      <c r="L18" s="235" t="str">
        <f>IF('SDG5'!G9="","",'SDG5'!G9)</f>
        <v/>
      </c>
      <c r="M18" s="235" t="str">
        <f>IF('SDG5'!H9="","",'SDG5'!H9)</f>
        <v/>
      </c>
      <c r="N18" s="235" t="str">
        <f>IF('SDG5'!I9="","",'SDG5'!I9)</f>
        <v/>
      </c>
      <c r="O18" s="235" t="str">
        <f>IF('SDG5'!J9="","",'SDG5'!J9)</f>
        <v/>
      </c>
    </row>
    <row r="19" spans="1:15" ht="75">
      <c r="A19" s="235" t="str">
        <f t="shared" si="1"/>
        <v>ODS 5</v>
      </c>
      <c r="B19" s="235" t="str">
        <f>'SDG5'!B10</f>
        <v>5.3.3</v>
      </c>
      <c r="C19" s="235" t="str">
        <f>'SDG5'!D10</f>
        <v>Planes de acceso de las mujeres
Proporcionar esquemas de acceso para mujeres, incluida tutoría, becas u otras disposiciones</v>
      </c>
      <c r="D19" s="299">
        <f>'SDG5'!O10</f>
        <v>4.5999999999999999E-2</v>
      </c>
      <c r="E19" s="235" t="str">
        <f>'SDG5'!N10</f>
        <v>Evidencia pública</v>
      </c>
      <c r="F19" s="235" t="str">
        <f>'SDG5'!K10</f>
        <v>Planeación Institucional</v>
      </c>
      <c r="G19" s="235" t="str">
        <f>IF('SDG5'!L10="","",'SDG5'!L10)</f>
        <v>Planeación Institucional</v>
      </c>
      <c r="H19" s="235" t="str">
        <f>IF('SDG5'!M10="","",'SDG5'!M10)</f>
        <v>Vicerrectoría de Enseñanza / Vicerrectoría de Investigaciones (Orquidea de la ciencia, otras mujeres), Conv Minciencias / Credito y Cartera / DRNI</v>
      </c>
      <c r="I19" s="235" t="str">
        <f>'SDG5'!P10</f>
        <v>Media</v>
      </c>
      <c r="J19" s="235" t="str">
        <f>'SDG5'!Q10</f>
        <v>Pendiente</v>
      </c>
      <c r="K19" s="235" t="str">
        <f>IF('SDG5'!F10="","",'SDG5'!F10)</f>
        <v/>
      </c>
      <c r="L19" s="235" t="str">
        <f>IF('SDG5'!G10="","",'SDG5'!G10)</f>
        <v/>
      </c>
      <c r="M19" s="235" t="str">
        <f>IF('SDG5'!H10="","",'SDG5'!H10)</f>
        <v/>
      </c>
      <c r="N19" s="235" t="str">
        <f>IF('SDG5'!I10="","",'SDG5'!I10)</f>
        <v/>
      </c>
      <c r="O19" s="235" t="str">
        <f>IF('SDG5'!J10="","",'SDG5'!J10)</f>
        <v/>
      </c>
    </row>
    <row r="20" spans="1:15" ht="135">
      <c r="A20" s="235" t="str">
        <f t="shared" si="1"/>
        <v>ODS 5</v>
      </c>
      <c r="B20" s="235" t="str">
        <f>'SDG5'!B14</f>
        <v>5.3.4</v>
      </c>
      <c r="C20" s="235" t="str">
        <f>'SDG5'!D14</f>
        <v>Solicitud de las mujeres en materias subrepresentadas
Fomentar las solicitudes de mujeres en materias en las que están subrepresentadas. A través de la extensión universitaria o mediante la colaboración con otras universidades, grupos comunitarios, gobiernos u ONG en campañas regionales o nacionales.</v>
      </c>
      <c r="D20" s="299">
        <f>'SDG5'!O14</f>
        <v>4.5999999999999999E-2</v>
      </c>
      <c r="E20" s="235" t="str">
        <f>'SDG5'!N14</f>
        <v>Evidencia pública</v>
      </c>
      <c r="F20" s="235" t="str">
        <f>'SDG5'!K14</f>
        <v>Planeación Institucional</v>
      </c>
      <c r="G20" s="235" t="str">
        <f>IF('SDG5'!L14="","",'SDG5'!L14)</f>
        <v>Planeación Institucional</v>
      </c>
      <c r="H20" s="235" t="str">
        <f>IF('SDG5'!M14="","",'SDG5'!M14)</f>
        <v>Vicerrectoría de Extensión / Vicerrectoría de Enseñanza / Vicerrectoría de Investigaciones (Orquidea de la ciencia, otras mujeres), Conv Minciencias / Credito y Cartera / DRNI / Mujer y Hogar / Miudes</v>
      </c>
      <c r="I20" s="235" t="str">
        <f>'SDG5'!P14</f>
        <v>Media</v>
      </c>
      <c r="J20" s="235" t="str">
        <f>'SDG5'!Q14</f>
        <v>Pendiente</v>
      </c>
      <c r="K20" s="235" t="str">
        <f>IF('SDG5'!F14="","",'SDG5'!F14)</f>
        <v/>
      </c>
      <c r="L20" s="235" t="str">
        <f>IF('SDG5'!G14="","",'SDG5'!G14)</f>
        <v/>
      </c>
      <c r="M20" s="235" t="str">
        <f>IF('SDG5'!H14="","",'SDG5'!H14)</f>
        <v/>
      </c>
      <c r="N20" s="235" t="str">
        <f>IF('SDG5'!I14="","",'SDG5'!I14)</f>
        <v/>
      </c>
      <c r="O20" s="235" t="str">
        <f>IF('SDG5'!J14="","",'SDG5'!J14)</f>
        <v/>
      </c>
    </row>
    <row r="21" spans="1:15" ht="30">
      <c r="A21" s="235" t="str">
        <f t="shared" si="1"/>
        <v>ODS 5</v>
      </c>
      <c r="B21" s="235" t="str">
        <f>'SDG5'!B18</f>
        <v>5.4.1</v>
      </c>
      <c r="C21" s="235" t="str">
        <f>'SDG5'!D18</f>
        <v>Proporción de mujeres académicas de alto nivel</v>
      </c>
      <c r="D21" s="299">
        <f>'SDG5'!O18</f>
        <v>0.154</v>
      </c>
      <c r="E21" s="235" t="str">
        <f>'SDG5'!N18</f>
        <v>Dato cuantitativo 2024</v>
      </c>
      <c r="F21" s="235" t="str">
        <f>'SDG5'!K18</f>
        <v>Planeación Institucional</v>
      </c>
      <c r="G21" s="235" t="str">
        <f>IF('SDG5'!L18="","",'SDG5'!L18)</f>
        <v>Planeación Institucional</v>
      </c>
      <c r="H21" s="235" t="str">
        <f>IF('SDG5'!M18="","",'SDG5'!M18)</f>
        <v>Talento Humano</v>
      </c>
      <c r="I21" s="235" t="str">
        <f>'SDG5'!P18</f>
        <v>Alta</v>
      </c>
      <c r="J21" s="235" t="str">
        <f>'SDG5'!Q18</f>
        <v>Pendiente</v>
      </c>
      <c r="K21" s="235" t="str">
        <f>IF('SDG5'!F18="","",'SDG5'!F18)</f>
        <v/>
      </c>
      <c r="L21" s="235" t="str">
        <f>IF('SDG5'!G18="","",'SDG5'!G18)</f>
        <v/>
      </c>
      <c r="M21" s="235" t="str">
        <f>IF('SDG5'!H18="","",'SDG5'!H18)</f>
        <v/>
      </c>
      <c r="N21" s="235" t="str">
        <f>IF('SDG5'!I18="","",'SDG5'!I18)</f>
        <v/>
      </c>
      <c r="O21" s="235" t="str">
        <f>IF('SDG5'!J18="","",'SDG5'!J18)</f>
        <v/>
      </c>
    </row>
    <row r="22" spans="1:15">
      <c r="A22" s="235" t="str">
        <f t="shared" si="1"/>
        <v>ODS 5</v>
      </c>
      <c r="B22" s="235" t="str">
        <f>'SDG5'!B22</f>
        <v>5.5.1</v>
      </c>
      <c r="C22" s="235" t="str">
        <f>'SDG5'!D22</f>
        <v>Proporción de títulos femeninos otorgados</v>
      </c>
      <c r="D22" s="299">
        <f>'SDG5'!O22</f>
        <v>0.115</v>
      </c>
      <c r="E22" s="235" t="str">
        <f>'SDG5'!N22</f>
        <v>Dato cuantitativo 2024</v>
      </c>
      <c r="F22" s="235" t="str">
        <f>'SDG5'!K22</f>
        <v>Planeación Institucional</v>
      </c>
      <c r="G22" s="235" t="str">
        <f>IF('SDG5'!L22="","",'SDG5'!L22)</f>
        <v>Planeación Institucional</v>
      </c>
      <c r="H22" s="235" t="str">
        <f>IF('SDG5'!M22="","",'SDG5'!M22)</f>
        <v>Registro y Control Académico</v>
      </c>
      <c r="I22" s="235" t="str">
        <f>'SDG5'!P22</f>
        <v>Alta</v>
      </c>
      <c r="J22" s="235" t="str">
        <f>'SDG5'!Q22</f>
        <v>Pendiente</v>
      </c>
      <c r="K22" s="235" t="str">
        <f>IF('SDG5'!F22="","",'SDG5'!F22)</f>
        <v/>
      </c>
      <c r="L22" s="235" t="str">
        <f>IF('SDG5'!G22="","",'SDG5'!G22)</f>
        <v/>
      </c>
      <c r="M22" s="235" t="str">
        <f>IF('SDG5'!H22="","",'SDG5'!H22)</f>
        <v/>
      </c>
      <c r="N22" s="235" t="str">
        <f>IF('SDG5'!I22="","",'SDG5'!I22)</f>
        <v/>
      </c>
      <c r="O22" s="235" t="str">
        <f>IF('SDG5'!J22="","",'SDG5'!J22)</f>
        <v/>
      </c>
    </row>
    <row r="23" spans="1:15" ht="45">
      <c r="A23" s="235" t="str">
        <f t="shared" si="1"/>
        <v>ODS 5</v>
      </c>
      <c r="B23" s="235" t="str">
        <f>'SDG5'!B33</f>
        <v>5.6.1</v>
      </c>
      <c r="C23" s="235" t="str">
        <f>'SDG5'!D33</f>
        <v>Política de no discriminación contra la mujer
Tener una política de no discriminación contra las mujeres</v>
      </c>
      <c r="D23" s="299">
        <f>'SDG5'!O33</f>
        <v>1.95E-2</v>
      </c>
      <c r="E23" s="235" t="str">
        <f>'SDG5'!N33</f>
        <v>Política / evidencia pública</v>
      </c>
      <c r="F23" s="235" t="str">
        <f>'SDG5'!K33</f>
        <v>Planeación Institucional</v>
      </c>
      <c r="G23" s="235" t="str">
        <f>IF('SDG5'!L33="","",'SDG5'!L33)</f>
        <v>Vicerrectoría de Enseñanza</v>
      </c>
      <c r="H23" s="235" t="str">
        <f>IF('SDG5'!M33="","",'SDG5'!M33)</f>
        <v>Talento Humano</v>
      </c>
      <c r="I23" s="235" t="str">
        <f>'SDG5'!P33</f>
        <v>Alta</v>
      </c>
      <c r="J23" s="235" t="str">
        <f>'SDG5'!Q33</f>
        <v>Pendiente</v>
      </c>
      <c r="K23" s="235" t="str">
        <f>IF('SDG5'!F33="","",'SDG5'!F33)</f>
        <v/>
      </c>
      <c r="L23" s="235" t="str">
        <f>IF('SDG5'!G33="","",'SDG5'!G33)</f>
        <v/>
      </c>
      <c r="M23" s="235" t="str">
        <f>IF('SDG5'!H33="","",'SDG5'!H33)</f>
        <v/>
      </c>
      <c r="N23" s="235" t="str">
        <f>IF('SDG5'!I33="","",'SDG5'!I33)</f>
        <v/>
      </c>
      <c r="O23" s="235" t="str">
        <f>IF('SDG5'!J33="","",'SDG5'!J33)</f>
        <v/>
      </c>
    </row>
    <row r="24" spans="1:15" ht="60">
      <c r="A24" s="235" t="str">
        <f t="shared" si="1"/>
        <v>ODS 5</v>
      </c>
      <c r="B24" s="235" t="str">
        <f>'SDG5'!B34</f>
        <v>5.6.2</v>
      </c>
      <c r="C24" s="235" t="str">
        <f>'SDG5'!D34</f>
        <v>Políticas de no discriminación para las personas transgénero
Tener una política de no discriminación para las personas transgénero.</v>
      </c>
      <c r="D24" s="299">
        <f>'SDG5'!O34</f>
        <v>1.95E-2</v>
      </c>
      <c r="E24" s="235" t="str">
        <f>'SDG5'!N34</f>
        <v>Política / evidencia pública</v>
      </c>
      <c r="F24" s="235" t="str">
        <f>'SDG5'!K34</f>
        <v>Planeación Institucional</v>
      </c>
      <c r="G24" s="235" t="str">
        <f>IF('SDG5'!L34="","",'SDG5'!L34)</f>
        <v>Vicerrectoría de Enseñanza</v>
      </c>
      <c r="H24" s="235" t="str">
        <f>IF('SDG5'!M34="","",'SDG5'!M34)</f>
        <v>Talento Humano</v>
      </c>
      <c r="I24" s="235" t="str">
        <f>'SDG5'!P34</f>
        <v>Alta</v>
      </c>
      <c r="J24" s="235" t="str">
        <f>'SDG5'!Q34</f>
        <v>Pendiente</v>
      </c>
      <c r="K24" s="235" t="str">
        <f>IF('SDG5'!F34="","",'SDG5'!F34)</f>
        <v/>
      </c>
      <c r="L24" s="235" t="str">
        <f>IF('SDG5'!G34="","",'SDG5'!G34)</f>
        <v/>
      </c>
      <c r="M24" s="235" t="str">
        <f>IF('SDG5'!H34="","",'SDG5'!H34)</f>
        <v/>
      </c>
      <c r="N24" s="235" t="str">
        <f>IF('SDG5'!I34="","",'SDG5'!I34)</f>
        <v/>
      </c>
      <c r="O24" s="235" t="str">
        <f>IF('SDG5'!J34="","",'SDG5'!J34)</f>
        <v/>
      </c>
    </row>
    <row r="25" spans="1:15" ht="45">
      <c r="A25" s="235" t="str">
        <f t="shared" si="1"/>
        <v>ODS 5</v>
      </c>
      <c r="B25" s="235" t="str">
        <f>'SDG5'!B35</f>
        <v>5.6.3</v>
      </c>
      <c r="C25" s="235" t="str">
        <f>'SDG5'!D35</f>
        <v>Política de maternidad
Tener una política de maternidad que apoye la participación de las mujeres.</v>
      </c>
      <c r="D25" s="299">
        <f>'SDG5'!O35</f>
        <v>9.4999999999999998E-3</v>
      </c>
      <c r="E25" s="235" t="str">
        <f>'SDG5'!N35</f>
        <v>Política / evidencia pública</v>
      </c>
      <c r="F25" s="235" t="str">
        <f>'SDG5'!K35</f>
        <v>Planeación Institucional</v>
      </c>
      <c r="G25" s="235" t="str">
        <f>IF('SDG5'!L35="","",'SDG5'!L35)</f>
        <v>Vicerrectoría de Enseñanza</v>
      </c>
      <c r="H25" s="235" t="str">
        <f>IF('SDG5'!M35="","",'SDG5'!M35)</f>
        <v>Talento Humano</v>
      </c>
      <c r="I25" s="235" t="str">
        <f>'SDG5'!P35</f>
        <v>Alta</v>
      </c>
      <c r="J25" s="235" t="str">
        <f>'SDG5'!Q35</f>
        <v>Pendiente</v>
      </c>
      <c r="K25" s="235" t="str">
        <f>IF('SDG5'!F35="","",'SDG5'!F35)</f>
        <v/>
      </c>
      <c r="L25" s="235" t="str">
        <f>IF('SDG5'!G35="","",'SDG5'!G35)</f>
        <v/>
      </c>
      <c r="M25" s="235" t="str">
        <f>IF('SDG5'!H35="","",'SDG5'!H35)</f>
        <v/>
      </c>
      <c r="N25" s="235" t="str">
        <f>IF('SDG5'!I35="","",'SDG5'!I35)</f>
        <v/>
      </c>
      <c r="O25" s="235" t="str">
        <f>IF('SDG5'!J35="","",'SDG5'!J35)</f>
        <v/>
      </c>
    </row>
    <row r="26" spans="1:15" ht="60">
      <c r="A26" s="235" t="str">
        <f t="shared" si="1"/>
        <v>ODS 5</v>
      </c>
      <c r="B26" s="235" t="str">
        <f>'SDG5'!B36</f>
        <v>5.6.4</v>
      </c>
      <c r="C26" s="235" t="str">
        <f>'SDG5'!D36</f>
        <v>Guarderías para estudiantes
Tener guarderías accesibles para estudiantes que permitan a las madres recién nacidas asistir a la universidad Cursos.</v>
      </c>
      <c r="D26" s="299">
        <f>'SDG5'!O36</f>
        <v>1.9E-2</v>
      </c>
      <c r="E26" s="235" t="str">
        <f>'SDG5'!N36</f>
        <v>Evidencia pública</v>
      </c>
      <c r="F26" s="235" t="str">
        <f>'SDG5'!K36</f>
        <v>Planeación Institucional</v>
      </c>
      <c r="G26" s="235" t="str">
        <f>IF('SDG5'!L36="","",'SDG5'!L36)</f>
        <v>Vicerrectoría de Enseñanza</v>
      </c>
      <c r="H26" s="235" t="str">
        <f>IF('SDG5'!M36="","",'SDG5'!M36)</f>
        <v>Talento Humano / Bienestar</v>
      </c>
      <c r="I26" s="235" t="str">
        <f>'SDG5'!P36</f>
        <v>Media</v>
      </c>
      <c r="J26" s="235" t="str">
        <f>'SDG5'!Q36</f>
        <v>Pendiente</v>
      </c>
      <c r="K26" s="235" t="str">
        <f>IF('SDG5'!F36="","",'SDG5'!F36)</f>
        <v/>
      </c>
      <c r="L26" s="235" t="str">
        <f>IF('SDG5'!G36="","",'SDG5'!G36)</f>
        <v/>
      </c>
      <c r="M26" s="235" t="str">
        <f>IF('SDG5'!H36="","",'SDG5'!H36)</f>
        <v/>
      </c>
      <c r="N26" s="235" t="str">
        <f>IF('SDG5'!I36="","",'SDG5'!I36)</f>
        <v/>
      </c>
      <c r="O26" s="235" t="str">
        <f>IF('SDG5'!J36="","",'SDG5'!J36)</f>
        <v/>
      </c>
    </row>
    <row r="27" spans="1:15" ht="60">
      <c r="A27" s="235" t="str">
        <f t="shared" si="1"/>
        <v>ODS 5</v>
      </c>
      <c r="B27" s="235" t="str">
        <f>'SDG5'!B39</f>
        <v>5.6.5</v>
      </c>
      <c r="C27" s="235" t="str">
        <f>'SDG5'!D39</f>
        <v>Instalaciones de cuidado infantil para el personal y la facultad
Tener instalaciones de cuidado infantil para el personal y la facultad.</v>
      </c>
      <c r="D27" s="299">
        <f>'SDG5'!O39</f>
        <v>1.9E-2</v>
      </c>
      <c r="E27" s="235" t="str">
        <f>'SDG5'!N39</f>
        <v>Evidencia pública</v>
      </c>
      <c r="F27" s="235" t="str">
        <f>'SDG5'!K39</f>
        <v>Planeación Institucional</v>
      </c>
      <c r="G27" s="235" t="str">
        <f>IF('SDG5'!L39="","",'SDG5'!L39)</f>
        <v>Vicerrectoría de Enseñanza</v>
      </c>
      <c r="H27" s="235" t="str">
        <f>IF('SDG5'!M39="","",'SDG5'!M39)</f>
        <v>Talento Humano / Bienestar</v>
      </c>
      <c r="I27" s="235" t="str">
        <f>'SDG5'!P39</f>
        <v>Media</v>
      </c>
      <c r="J27" s="235" t="str">
        <f>'SDG5'!Q39</f>
        <v>Pendiente</v>
      </c>
      <c r="K27" s="235" t="str">
        <f>IF('SDG5'!F39="","",'SDG5'!F39)</f>
        <v/>
      </c>
      <c r="L27" s="235" t="str">
        <f>IF('SDG5'!G39="","",'SDG5'!G39)</f>
        <v/>
      </c>
      <c r="M27" s="235" t="str">
        <f>IF('SDG5'!H39="","",'SDG5'!H39)</f>
        <v/>
      </c>
      <c r="N27" s="235" t="str">
        <f>IF('SDG5'!I39="","",'SDG5'!I39)</f>
        <v/>
      </c>
      <c r="O27" s="235" t="str">
        <f>IF('SDG5'!J39="","",'SDG5'!J39)</f>
        <v/>
      </c>
    </row>
    <row r="28" spans="1:15" ht="75">
      <c r="A28" s="235" t="str">
        <f t="shared" si="1"/>
        <v>ODS 5</v>
      </c>
      <c r="B28" s="235" t="str">
        <f>'SDG5'!B42</f>
        <v>5.6.6</v>
      </c>
      <c r="C28" s="235" t="str">
        <f>'SDG5'!D42</f>
        <v>Programas de tutoría para mujeres
Tener programas de tutoría para mujeres, en los que participe al menos el 10% de las estudiantes.</v>
      </c>
      <c r="D28" s="299">
        <f>'SDG5'!O42</f>
        <v>1.9E-2</v>
      </c>
      <c r="E28" s="235" t="str">
        <f>'SDG5'!N42</f>
        <v>Evidencia pública</v>
      </c>
      <c r="F28" s="235" t="str">
        <f>'SDG5'!K42</f>
        <v>Planeación Institucional</v>
      </c>
      <c r="G28" s="235" t="str">
        <f>IF('SDG5'!L42="","",'SDG5'!L42)</f>
        <v>Vicerrectoría de Enseñanza</v>
      </c>
      <c r="H28" s="235" t="str">
        <f>IF('SDG5'!M42="","",'SDG5'!M42)</f>
        <v>Talento Humano / Bienestar / Desarrollo Profesoral / Desarrollo Estudiantil / Campus Virtual UDES / Vicerrectoría de Extensión / Programa de Psicología y de Salud</v>
      </c>
      <c r="I28" s="235" t="str">
        <f>'SDG5'!P42</f>
        <v>Media</v>
      </c>
      <c r="J28" s="235" t="str">
        <f>'SDG5'!Q42</f>
        <v>Pendiente</v>
      </c>
      <c r="K28" s="235" t="str">
        <f>IF('SDG5'!F42="","",'SDG5'!F42)</f>
        <v/>
      </c>
      <c r="L28" s="235" t="str">
        <f>IF('SDG5'!G42="","",'SDG5'!G42)</f>
        <v/>
      </c>
      <c r="M28" s="235" t="str">
        <f>IF('SDG5'!H42="","",'SDG5'!H42)</f>
        <v/>
      </c>
      <c r="N28" s="235" t="str">
        <f>IF('SDG5'!I42="","",'SDG5'!I42)</f>
        <v/>
      </c>
      <c r="O28" s="235" t="str">
        <f>IF('SDG5'!J42="","",'SDG5'!J42)</f>
        <v/>
      </c>
    </row>
    <row r="29" spans="1:15" ht="90">
      <c r="A29" s="235" t="str">
        <f t="shared" si="1"/>
        <v>ODS 5</v>
      </c>
      <c r="B29" s="235" t="str">
        <f>'SDG5'!B43</f>
        <v>5.6.7</v>
      </c>
      <c r="C29" s="235" t="str">
        <f>'SDG5'!D43</f>
        <v>Seguimiento de la tasa de graduación de las mujeres
Tener una medición o seguimiento de la probabilidad de graduación de las mujeres en comparación con la de los hombres, y esquemas para cerrar cualquier brecha.</v>
      </c>
      <c r="D29" s="299">
        <f>'SDG5'!O43</f>
        <v>1.9E-2</v>
      </c>
      <c r="E29" s="235" t="str">
        <f>'SDG5'!N43</f>
        <v>Evidencia pública</v>
      </c>
      <c r="F29" s="235" t="str">
        <f>'SDG5'!K43</f>
        <v>Planeación Institucional</v>
      </c>
      <c r="G29" s="235" t="str">
        <f>IF('SDG5'!L43="","",'SDG5'!L43)</f>
        <v>Planeación Institucional</v>
      </c>
      <c r="H29" s="235" t="str">
        <f>IF('SDG5'!M43="","",'SDG5'!M43)</f>
        <v>Registro y Control Académico</v>
      </c>
      <c r="I29" s="235" t="str">
        <f>'SDG5'!P43</f>
        <v>Media</v>
      </c>
      <c r="J29" s="235" t="str">
        <f>'SDG5'!Q43</f>
        <v>Pendiente</v>
      </c>
      <c r="K29" s="235" t="str">
        <f>IF('SDG5'!F43="","",'SDG5'!F43)</f>
        <v/>
      </c>
      <c r="L29" s="235" t="str">
        <f>IF('SDG5'!G43="","",'SDG5'!G43)</f>
        <v/>
      </c>
      <c r="M29" s="235" t="str">
        <f>IF('SDG5'!H43="","",'SDG5'!H43)</f>
        <v/>
      </c>
      <c r="N29" s="235" t="str">
        <f>IF('SDG5'!I43="","",'SDG5'!I43)</f>
        <v/>
      </c>
      <c r="O29" s="235" t="str">
        <f>IF('SDG5'!J43="","",'SDG5'!J43)</f>
        <v/>
      </c>
    </row>
    <row r="30" spans="1:15" ht="75">
      <c r="A30" s="235" t="str">
        <f t="shared" si="1"/>
        <v>ODS 5</v>
      </c>
      <c r="B30" s="235" t="str">
        <f>'SDG5'!B44</f>
        <v>5.6.8</v>
      </c>
      <c r="C30" s="235" t="str">
        <f>'SDG5'!D44</f>
        <v>Políticas que protegen a quienes denuncian discriminación
Tener una política que proteja a quienes denuncian discriminación de desventajas educativas o laborales</v>
      </c>
      <c r="D30" s="299">
        <f>'SDG5'!O44</f>
        <v>1.9E-2</v>
      </c>
      <c r="E30" s="235" t="str">
        <f>'SDG5'!N44</f>
        <v>Política / evidencia pública</v>
      </c>
      <c r="F30" s="235" t="str">
        <f>'SDG5'!K44</f>
        <v>Planeación Institucional</v>
      </c>
      <c r="G30" s="235" t="str">
        <f>IF('SDG5'!L44="","",'SDG5'!L44)</f>
        <v>Vicerrectoría de Enseñanza</v>
      </c>
      <c r="H30" s="235" t="str">
        <f>IF('SDG5'!M44="","",'SDG5'!M44)</f>
        <v>Talento Humano / Bienestar</v>
      </c>
      <c r="I30" s="235" t="str">
        <f>'SDG5'!P44</f>
        <v>Alta</v>
      </c>
      <c r="J30" s="235" t="str">
        <f>'SDG5'!Q44</f>
        <v>Pendiente</v>
      </c>
      <c r="K30" s="235" t="str">
        <f>IF('SDG5'!F44="","",'SDG5'!F44)</f>
        <v/>
      </c>
      <c r="L30" s="235" t="str">
        <f>IF('SDG5'!G44="","",'SDG5'!G44)</f>
        <v/>
      </c>
      <c r="M30" s="235" t="str">
        <f>IF('SDG5'!H44="","",'SDG5'!H44)</f>
        <v/>
      </c>
      <c r="N30" s="235" t="str">
        <f>IF('SDG5'!I44="","",'SDG5'!I44)</f>
        <v/>
      </c>
      <c r="O30" s="235" t="str">
        <f>IF('SDG5'!J44="","",'SDG5'!J44)</f>
        <v/>
      </c>
    </row>
    <row r="31" spans="1:15" ht="75">
      <c r="A31" s="235" t="str">
        <f t="shared" si="1"/>
        <v>ODS 5</v>
      </c>
      <c r="B31" s="235" t="str">
        <f>'SDG5'!B45</f>
        <v>5.6.9</v>
      </c>
      <c r="C31" s="235" t="str">
        <f>'SDG5'!D45</f>
        <v>Política de paternidad
Tener una política de paternidad que apoye la participación de las mujeres al garantizar que los padres puedan participar en las tareas de cuidado de los niños.</v>
      </c>
      <c r="D31" s="299">
        <f>'SDG5'!O45</f>
        <v>9.4999999999999998E-3</v>
      </c>
      <c r="E31" s="235" t="str">
        <f>'SDG5'!N45</f>
        <v>Política / evidencia pública</v>
      </c>
      <c r="F31" s="235" t="str">
        <f>'SDG5'!K45</f>
        <v>Planeación Institucional</v>
      </c>
      <c r="G31" s="235" t="str">
        <f>IF('SDG5'!L45="","",'SDG5'!L45)</f>
        <v>Vicerrectoría de Enseñanza</v>
      </c>
      <c r="H31" s="235" t="str">
        <f>IF('SDG5'!M45="","",'SDG5'!M45)</f>
        <v>Talento Humano / Bienestar</v>
      </c>
      <c r="I31" s="235" t="str">
        <f>'SDG5'!P45</f>
        <v>Alta</v>
      </c>
      <c r="J31" s="235" t="str">
        <f>'SDG5'!Q45</f>
        <v>Pendiente</v>
      </c>
      <c r="K31" s="235" t="str">
        <f>IF('SDG5'!F45="","",'SDG5'!F45)</f>
        <v/>
      </c>
      <c r="L31" s="235" t="str">
        <f>IF('SDG5'!G45="","",'SDG5'!G45)</f>
        <v/>
      </c>
      <c r="M31" s="235" t="str">
        <f>IF('SDG5'!H45="","",'SDG5'!H45)</f>
        <v/>
      </c>
      <c r="N31" s="235" t="str">
        <f>IF('SDG5'!I45="","",'SDG5'!I45)</f>
        <v/>
      </c>
      <c r="O31" s="235" t="str">
        <f>IF('SDG5'!J45="","",'SDG5'!J45)</f>
        <v/>
      </c>
    </row>
    <row r="32" spans="1:15" ht="30">
      <c r="A32" s="235" t="str">
        <f t="shared" ref="A32:A46" si="2">"ODS 10"</f>
        <v>ODS 10</v>
      </c>
      <c r="B32" s="235" t="str">
        <f>'SDG10'!B4</f>
        <v>10.2.1</v>
      </c>
      <c r="C32" s="235" t="str">
        <f>'SDG10'!D4</f>
        <v>Proporción de estudiantes de primera generación</v>
      </c>
      <c r="D32" s="299">
        <f>'SDG10'!O4</f>
        <v>0.155</v>
      </c>
      <c r="E32" s="235" t="str">
        <f>'SDG10'!N4</f>
        <v>Dato cuantitativo 2024</v>
      </c>
      <c r="F32" s="235" t="str">
        <f>'SDG10'!K4</f>
        <v>Planeación Institucional</v>
      </c>
      <c r="G32" s="235" t="str">
        <f>IF('SDG10'!L4="","",'SDG10'!L4)</f>
        <v>Planeación Institucional</v>
      </c>
      <c r="H32" s="235" t="str">
        <f>IF('SDG10'!M4="","",'SDG10'!M4)</f>
        <v>Registro y Control Académico</v>
      </c>
      <c r="I32" s="235" t="str">
        <f>'SDG10'!P4</f>
        <v>Alta</v>
      </c>
      <c r="J32" s="235" t="str">
        <f>'SDG10'!Q4</f>
        <v>Pendiente</v>
      </c>
      <c r="K32" s="235" t="str">
        <f>IF('SDG10'!F4="","",'SDG10'!F4)</f>
        <v/>
      </c>
      <c r="L32" s="235" t="str">
        <f>IF('SDG10'!G4="","",'SDG10'!G4)</f>
        <v/>
      </c>
      <c r="M32" s="235" t="str">
        <f>IF('SDG10'!H4="","",'SDG10'!H4)</f>
        <v/>
      </c>
      <c r="N32" s="235" t="str">
        <f>IF('SDG10'!I4="","",'SDG10'!I4)</f>
        <v/>
      </c>
      <c r="O32" s="235" t="str">
        <f>IF('SDG10'!J4="","",'SDG10'!J4)</f>
        <v/>
      </c>
    </row>
    <row r="33" spans="1:15" ht="30">
      <c r="A33" s="235" t="str">
        <f t="shared" si="2"/>
        <v>ODS 10</v>
      </c>
      <c r="B33" s="235" t="str">
        <f>'SDG10'!B8</f>
        <v>10.3.1</v>
      </c>
      <c r="C33" s="235" t="str">
        <f>'SDG10'!D8</f>
        <v>Proporción de estudiantes internacionales de países en desarrollo</v>
      </c>
      <c r="D33" s="299">
        <f>'SDG10'!O8</f>
        <v>0.155</v>
      </c>
      <c r="E33" s="235" t="str">
        <f>'SDG10'!N8</f>
        <v>Dato cuantitativo 2024</v>
      </c>
      <c r="F33" s="235" t="str">
        <f>'SDG10'!K8</f>
        <v>Planeación Institucional</v>
      </c>
      <c r="G33" s="235" t="str">
        <f>IF('SDG10'!L8="","",'SDG10'!L8)</f>
        <v>Planeación Institucional</v>
      </c>
      <c r="H33" s="235" t="str">
        <f>IF('SDG10'!M8="","",'SDG10'!M8)</f>
        <v>DRNI</v>
      </c>
      <c r="I33" s="235" t="str">
        <f>'SDG10'!P8</f>
        <v>Alta</v>
      </c>
      <c r="J33" s="235" t="str">
        <f>'SDG10'!Q8</f>
        <v>Pendiente</v>
      </c>
      <c r="K33" s="235" t="str">
        <f>IF('SDG10'!F8="","",'SDG10'!F8)</f>
        <v/>
      </c>
      <c r="L33" s="235" t="str">
        <f>IF('SDG10'!G8="","",'SDG10'!G8)</f>
        <v/>
      </c>
      <c r="M33" s="235" t="str">
        <f>IF('SDG10'!H8="","",'SDG10'!H8)</f>
        <v/>
      </c>
      <c r="N33" s="235" t="str">
        <f>IF('SDG10'!I8="","",'SDG10'!I8)</f>
        <v/>
      </c>
      <c r="O33" s="235" t="str">
        <f>IF('SDG10'!J8="","",'SDG10'!J8)</f>
        <v/>
      </c>
    </row>
    <row r="34" spans="1:15">
      <c r="A34" s="235" t="str">
        <f t="shared" si="2"/>
        <v>ODS 10</v>
      </c>
      <c r="B34" s="235" t="str">
        <f>'SDG10'!B12</f>
        <v>10.4.1</v>
      </c>
      <c r="C34" s="235" t="str">
        <f>'SDG10'!D12</f>
        <v>Proporción de estudiantes con discapacidad</v>
      </c>
      <c r="D34" s="299">
        <f>'SDG10'!O12</f>
        <v>0.115</v>
      </c>
      <c r="E34" s="235" t="str">
        <f>'SDG10'!N12</f>
        <v>Dato cuantitativo 2024</v>
      </c>
      <c r="F34" s="235" t="str">
        <f>'SDG10'!K12</f>
        <v>Planeación Institucional</v>
      </c>
      <c r="G34" s="235" t="str">
        <f>IF('SDG10'!L12="","",'SDG10'!L12)</f>
        <v>Planeación Institucional</v>
      </c>
      <c r="H34" s="235" t="str">
        <f>IF('SDG10'!M12="","",'SDG10'!M12)</f>
        <v>Bienestar / Desarrollo Estudiantil</v>
      </c>
      <c r="I34" s="235" t="str">
        <f>'SDG10'!P12</f>
        <v>Alta</v>
      </c>
      <c r="J34" s="235" t="str">
        <f>'SDG10'!Q12</f>
        <v>Pendiente</v>
      </c>
      <c r="K34" s="235" t="str">
        <f>IF('SDG10'!F12="","",'SDG10'!F12)</f>
        <v/>
      </c>
      <c r="L34" s="235" t="str">
        <f>IF('SDG10'!G12="","",'SDG10'!G12)</f>
        <v/>
      </c>
      <c r="M34" s="235" t="str">
        <f>IF('SDG10'!H12="","",'SDG10'!H12)</f>
        <v/>
      </c>
      <c r="N34" s="235" t="str">
        <f>IF('SDG10'!I12="","",'SDG10'!I12)</f>
        <v/>
      </c>
      <c r="O34" s="235" t="str">
        <f>IF('SDG10'!J12="","",'SDG10'!J12)</f>
        <v/>
      </c>
    </row>
    <row r="35" spans="1:15">
      <c r="A35" s="235" t="str">
        <f t="shared" si="2"/>
        <v>ODS 10</v>
      </c>
      <c r="B35" s="235" t="str">
        <f>'SDG10'!B16</f>
        <v>10.5.1</v>
      </c>
      <c r="C35" s="235" t="str">
        <f>'SDG10'!D16</f>
        <v>Proporción de empleados con discapacidad</v>
      </c>
      <c r="D35" s="299">
        <f>'SDG10'!O16</f>
        <v>0.115</v>
      </c>
      <c r="E35" s="235" t="str">
        <f>'SDG10'!N16</f>
        <v>Dato cuantitativo 2024</v>
      </c>
      <c r="F35" s="235" t="str">
        <f>'SDG10'!K16</f>
        <v>Planeación Institucional</v>
      </c>
      <c r="G35" s="235" t="str">
        <f>IF('SDG10'!L16="","",'SDG10'!L16)</f>
        <v>Talento Humano</v>
      </c>
      <c r="H35" s="235" t="str">
        <f>IF('SDG10'!M16="","",'SDG10'!M16)</f>
        <v>Planeación Institucional</v>
      </c>
      <c r="I35" s="235" t="str">
        <f>'SDG10'!P16</f>
        <v>Alta</v>
      </c>
      <c r="J35" s="235" t="str">
        <f>'SDG10'!Q16</f>
        <v>Pendiente</v>
      </c>
      <c r="K35" s="235" t="str">
        <f>IF('SDG10'!F16="","",'SDG10'!F16)</f>
        <v/>
      </c>
      <c r="L35" s="235" t="str">
        <f>IF('SDG10'!G16="","",'SDG10'!G16)</f>
        <v/>
      </c>
      <c r="M35" s="235" t="str">
        <f>IF('SDG10'!H16="","",'SDG10'!H16)</f>
        <v/>
      </c>
      <c r="N35" s="235" t="str">
        <f>IF('SDG10'!I16="","",'SDG10'!I16)</f>
        <v/>
      </c>
      <c r="O35" s="235" t="str">
        <f>IF('SDG10'!J16="","",'SDG10'!J16)</f>
        <v/>
      </c>
    </row>
    <row r="36" spans="1:15" ht="75">
      <c r="A36" s="235" t="str">
        <f t="shared" si="2"/>
        <v>ODS 10</v>
      </c>
      <c r="B36" s="235" t="str">
        <f>'SDG10'!B20</f>
        <v>10.6.1</v>
      </c>
      <c r="C36" s="235" t="str">
        <f>'SDG10'!D20</f>
        <v>Política de admisión no discriminatoria
Tener una política de admisión que no sea discriminatoria o que detalle y explique la lógica de cualquier política de discriminación positiva apropiada en las admisiones.</v>
      </c>
      <c r="D36" s="299">
        <f>'SDG10'!O20</f>
        <v>1.9E-2</v>
      </c>
      <c r="E36" s="235" t="str">
        <f>'SDG10'!N20</f>
        <v>Política / evidencia pública</v>
      </c>
      <c r="F36" s="235" t="str">
        <f>'SDG10'!K20</f>
        <v>Planeación Institucional</v>
      </c>
      <c r="G36" s="235" t="str">
        <f>IF('SDG10'!L20="","",'SDG10'!L20)</f>
        <v>Vicerrectoría de Enseñanza</v>
      </c>
      <c r="H36" s="235" t="str">
        <f>IF('SDG10'!M20="","",'SDG10'!M20)</f>
        <v>Talento Humano / Registro y Control Académico</v>
      </c>
      <c r="I36" s="235" t="str">
        <f>'SDG10'!P20</f>
        <v>Alta</v>
      </c>
      <c r="J36" s="235" t="str">
        <f>'SDG10'!Q20</f>
        <v>Pendiente</v>
      </c>
      <c r="K36" s="235" t="str">
        <f>IF('SDG10'!F20="","",'SDG10'!F20)</f>
        <v/>
      </c>
      <c r="L36" s="235" t="str">
        <f>IF('SDG10'!G20="","",'SDG10'!G20)</f>
        <v/>
      </c>
      <c r="M36" s="235" t="str">
        <f>IF('SDG10'!H20="","",'SDG10'!H20)</f>
        <v/>
      </c>
      <c r="N36" s="235" t="str">
        <f>IF('SDG10'!I20="","",'SDG10'!I20)</f>
        <v/>
      </c>
      <c r="O36" s="235" t="str">
        <f>IF('SDG10'!J20="","",'SDG10'!J20)</f>
        <v/>
      </c>
    </row>
    <row r="37" spans="1:15" ht="150">
      <c r="A37" s="235" t="str">
        <f t="shared" si="2"/>
        <v>ODS 10</v>
      </c>
      <c r="B37" s="235" t="str">
        <f>'SDG10'!B21</f>
        <v>10.6.2</v>
      </c>
      <c r="C37" s="235" t="str">
        <f>'SDG10'!D21</f>
        <v>Acceso a la universidad, seguimiento de solicitudes de grupos subrepresentados
Mida y realice un seguimiento de las solicitudes y admisiones de grupos subrepresentados (y potencialmente subrepresentados), incluidas minorías étnicas, estudiantes de bajos ingresos, estudiantes no tradicionales, mujeres, estudiantes LGBT, estudiantes discapacitados y estudiantes refugiados recién establecidos.</v>
      </c>
      <c r="D37" s="299">
        <f>'SDG10'!O21</f>
        <v>1.9E-2</v>
      </c>
      <c r="E37" s="235" t="str">
        <f>'SDG10'!N21</f>
        <v>Evidencia pública</v>
      </c>
      <c r="F37" s="235" t="str">
        <f>'SDG10'!K21</f>
        <v>Planeación Institucional</v>
      </c>
      <c r="G37" s="235" t="str">
        <f>IF('SDG10'!L21="","",'SDG10'!L21)</f>
        <v>Planeación Institucional</v>
      </c>
      <c r="H37" s="235" t="str">
        <f>IF('SDG10'!M21="","",'SDG10'!M21)</f>
        <v>Vicerrectoría de Enseñanza / Registro y Control Académico / Bienestar</v>
      </c>
      <c r="I37" s="235" t="str">
        <f>'SDG10'!P21</f>
        <v>Media</v>
      </c>
      <c r="J37" s="235" t="str">
        <f>'SDG10'!Q21</f>
        <v>Pendiente</v>
      </c>
      <c r="K37" s="235" t="str">
        <f>IF('SDG10'!F21="","",'SDG10'!F21)</f>
        <v/>
      </c>
      <c r="L37" s="235" t="str">
        <f>IF('SDG10'!G21="","",'SDG10'!G21)</f>
        <v/>
      </c>
      <c r="M37" s="235" t="str">
        <f>IF('SDG10'!H21="","",'SDG10'!H21)</f>
        <v/>
      </c>
      <c r="N37" s="235" t="str">
        <f>IF('SDG10'!I21="","",'SDG10'!I21)</f>
        <v/>
      </c>
      <c r="O37" s="235" t="str">
        <f>IF('SDG10'!J21="","",'SDG10'!J21)</f>
        <v/>
      </c>
    </row>
    <row r="38" spans="1:15" ht="75">
      <c r="A38" s="235" t="str">
        <f t="shared" si="2"/>
        <v>ODS 10</v>
      </c>
      <c r="B38" s="235" t="str">
        <f>'SDG10'!B22</f>
        <v>10.6.3</v>
      </c>
      <c r="C38" s="235" t="str">
        <f>'SDG10'!D22</f>
        <v>Acceso a la universidad recluta a grupos subrepresentados
Tomar medidas planificadas para reclutar estudiantes, personal y profesores de grupos subrepresentados</v>
      </c>
      <c r="D38" s="299">
        <f>'SDG10'!O22</f>
        <v>1.9E-2</v>
      </c>
      <c r="E38" s="235" t="str">
        <f>'SDG10'!N22</f>
        <v>Evidencia pública</v>
      </c>
      <c r="F38" s="235" t="str">
        <f>'SDG10'!K22</f>
        <v>Planeación Institucional</v>
      </c>
      <c r="G38" s="235" t="str">
        <f>IF('SDG10'!L22="","",'SDG10'!L22)</f>
        <v>Vicerrectoría de Enseñanza</v>
      </c>
      <c r="H38" s="235" t="str">
        <f>IF('SDG10'!M22="","",'SDG10'!M22)</f>
        <v>Talento Humano / Mercadeo Institucional / Desarrollo Profesoral</v>
      </c>
      <c r="I38" s="235" t="str">
        <f>'SDG10'!P22</f>
        <v>Media</v>
      </c>
      <c r="J38" s="235" t="str">
        <f>'SDG10'!Q22</f>
        <v>Pendiente</v>
      </c>
      <c r="K38" s="235" t="str">
        <f>IF('SDG10'!F22="","",'SDG10'!F22)</f>
        <v/>
      </c>
      <c r="L38" s="235" t="str">
        <f>IF('SDG10'!G22="","",'SDG10'!G22)</f>
        <v/>
      </c>
      <c r="M38" s="235" t="str">
        <f>IF('SDG10'!H22="","",'SDG10'!H22)</f>
        <v/>
      </c>
      <c r="N38" s="235" t="str">
        <f>IF('SDG10'!I22="","",'SDG10'!I22)</f>
        <v/>
      </c>
      <c r="O38" s="235" t="str">
        <f>IF('SDG10'!J22="","",'SDG10'!J22)</f>
        <v/>
      </c>
    </row>
    <row r="39" spans="1:15" ht="45">
      <c r="A39" s="235" t="str">
        <f t="shared" si="2"/>
        <v>ODS 10</v>
      </c>
      <c r="B39" s="235" t="str">
        <f>'SDG10'!B23</f>
        <v>10.6.4</v>
      </c>
      <c r="C39" s="235" t="str">
        <f>'SDG10'!D23</f>
        <v>Políticas contra la discriminación
Tener una política antidiscriminatoria que abarque a la institución y sus operaciones.</v>
      </c>
      <c r="D39" s="299">
        <f>'SDG10'!O23</f>
        <v>9.4999999999999998E-3</v>
      </c>
      <c r="E39" s="235" t="str">
        <f>'SDG10'!N23</f>
        <v>Política / evidencia pública</v>
      </c>
      <c r="F39" s="235" t="str">
        <f>'SDG10'!K23</f>
        <v>Planeación Institucional</v>
      </c>
      <c r="G39" s="235" t="str">
        <f>IF('SDG10'!L23="","",'SDG10'!L23)</f>
        <v>COPASST</v>
      </c>
      <c r="H39" s="235" t="str">
        <f>IF('SDG10'!M23="","",'SDG10'!M23)</f>
        <v>VAF / Comité de Inclusión / Talento Humano</v>
      </c>
      <c r="I39" s="235" t="str">
        <f>'SDG10'!P23</f>
        <v>Alta</v>
      </c>
      <c r="J39" s="235" t="str">
        <f>'SDG10'!Q23</f>
        <v>Pendiente</v>
      </c>
      <c r="K39" s="235" t="str">
        <f>IF('SDG10'!F23="","",'SDG10'!F23)</f>
        <v/>
      </c>
      <c r="L39" s="235" t="str">
        <f>IF('SDG10'!G23="","",'SDG10'!G23)</f>
        <v/>
      </c>
      <c r="M39" s="235" t="str">
        <f>IF('SDG10'!H23="","",'SDG10'!H23)</f>
        <v/>
      </c>
      <c r="N39" s="235" t="str">
        <f>IF('SDG10'!I23="","",'SDG10'!I23)</f>
        <v/>
      </c>
      <c r="O39" s="235" t="str">
        <f>IF('SDG10'!J23="","",'SDG10'!J23)</f>
        <v/>
      </c>
    </row>
    <row r="40" spans="1:15" ht="135">
      <c r="A40" s="235" t="str">
        <f t="shared" si="2"/>
        <v>ODS 10</v>
      </c>
      <c r="B40" s="235" t="str">
        <f>'SDG10'!B24</f>
        <v>10.6.5</v>
      </c>
      <c r="C40" s="235" t="str">
        <f>'SDG10'!D24</f>
        <v>Oficial de diversidad universitaria
Tener un comité, oficina o funcionario de diversidad e igualdad (o su equivalente) encargado por la administración o el órgano de gobierno de asesorar e implementar políticas, programas y capacitaciones relacionados con la diversidad, la equidad, la inclusión y los derechos humanos en el campus.</v>
      </c>
      <c r="D40" s="299">
        <f>'SDG10'!O24</f>
        <v>1.9E-2</v>
      </c>
      <c r="E40" s="235" t="str">
        <f>'SDG10'!N24</f>
        <v>Evidencia pública</v>
      </c>
      <c r="F40" s="235" t="str">
        <f>'SDG10'!K24</f>
        <v>Planeación Institucional</v>
      </c>
      <c r="G40" s="235" t="str">
        <f>IF('SDG10'!L24="","",'SDG10'!L24)</f>
        <v>Comité de Inclusión</v>
      </c>
      <c r="H40" s="235" t="str">
        <f>IF('SDG10'!M24="","",'SDG10'!M24)</f>
        <v/>
      </c>
      <c r="I40" s="235" t="str">
        <f>'SDG10'!P24</f>
        <v>Media</v>
      </c>
      <c r="J40" s="235" t="str">
        <f>'SDG10'!Q24</f>
        <v>Pendiente</v>
      </c>
      <c r="K40" s="235" t="str">
        <f>IF('SDG10'!F24="","",'SDG10'!F24)</f>
        <v/>
      </c>
      <c r="L40" s="235" t="str">
        <f>IF('SDG10'!G24="","",'SDG10'!G24)</f>
        <v/>
      </c>
      <c r="M40" s="235" t="str">
        <f>IF('SDG10'!H24="","",'SDG10'!H24)</f>
        <v/>
      </c>
      <c r="N40" s="235" t="str">
        <f>IF('SDG10'!I24="","",'SDG10'!I24)</f>
        <v/>
      </c>
      <c r="O40" s="235" t="str">
        <f>IF('SDG10'!J24="","",'SDG10'!J24)</f>
        <v/>
      </c>
    </row>
    <row r="41" spans="1:15" ht="75">
      <c r="A41" s="235" t="str">
        <f t="shared" si="2"/>
        <v>ODS 10</v>
      </c>
      <c r="B41" s="235" t="str">
        <f>'SDG10'!B25</f>
        <v>10.6.6</v>
      </c>
      <c r="C41" s="235" t="str">
        <f>'SDG10'!D25</f>
        <v>Apoyo a grupos subrepresentados
Proporcionar programas de tutoría, asesoramiento o apoyo entre pares para apoyar a los estudiantes, el personal y el profesorado de grupos subrepresentados.</v>
      </c>
      <c r="D41" s="299">
        <f>'SDG10'!O25</f>
        <v>1.9E-2</v>
      </c>
      <c r="E41" s="235" t="str">
        <f>'SDG10'!N25</f>
        <v>Evidencia pública</v>
      </c>
      <c r="F41" s="235" t="str">
        <f>'SDG10'!K25</f>
        <v>Planeación Institucional</v>
      </c>
      <c r="G41" s="235" t="str">
        <f>IF('SDG10'!L25="","",'SDG10'!L25)</f>
        <v>Bienestar</v>
      </c>
      <c r="H41" s="235" t="str">
        <f>IF('SDG10'!M25="","",'SDG10'!M25)</f>
        <v>Desarrollo Estudiantil / Desarrollo Profesoral / Talento Humano</v>
      </c>
      <c r="I41" s="235" t="str">
        <f>'SDG10'!P25</f>
        <v>Media</v>
      </c>
      <c r="J41" s="235" t="str">
        <f>'SDG10'!Q25</f>
        <v>Pendiente</v>
      </c>
      <c r="K41" s="235" t="str">
        <f>IF('SDG10'!F25="","",'SDG10'!F25)</f>
        <v/>
      </c>
      <c r="L41" s="235" t="str">
        <f>IF('SDG10'!G25="","",'SDG10'!G25)</f>
        <v/>
      </c>
      <c r="M41" s="235" t="str">
        <f>IF('SDG10'!H25="","",'SDG10'!H25)</f>
        <v/>
      </c>
      <c r="N41" s="235" t="str">
        <f>IF('SDG10'!I25="","",'SDG10'!I25)</f>
        <v/>
      </c>
      <c r="O41" s="235" t="str">
        <f>IF('SDG10'!J25="","",'SDG10'!J25)</f>
        <v/>
      </c>
    </row>
    <row r="42" spans="1:15" ht="45">
      <c r="A42" s="235" t="str">
        <f t="shared" si="2"/>
        <v>ODS 10</v>
      </c>
      <c r="B42" s="235" t="str">
        <f>'SDG10'!B26</f>
        <v>10.6.7</v>
      </c>
      <c r="C42" s="235" t="str">
        <f>'SDG10'!D26</f>
        <v>Instalaciones accesibles
Proporcionar instalaciones accesibles para personas con discapacidades.</v>
      </c>
      <c r="D42" s="299">
        <f>'SDG10'!O26</f>
        <v>1.9E-2</v>
      </c>
      <c r="E42" s="235" t="str">
        <f>'SDG10'!N26</f>
        <v>Evidencia pública</v>
      </c>
      <c r="F42" s="235" t="str">
        <f>'SDG10'!K26</f>
        <v>Planeación Institucional</v>
      </c>
      <c r="G42" s="235" t="str">
        <f>IF('SDG10'!L26="","",'SDG10'!L26)</f>
        <v>Planta Física</v>
      </c>
      <c r="H42" s="235" t="str">
        <f>IF('SDG10'!M26="","",'SDG10'!M26)</f>
        <v/>
      </c>
      <c r="I42" s="235" t="str">
        <f>'SDG10'!P26</f>
        <v>Media</v>
      </c>
      <c r="J42" s="235" t="str">
        <f>'SDG10'!Q26</f>
        <v>Pendiente</v>
      </c>
      <c r="K42" s="235" t="str">
        <f>IF('SDG10'!F26="","",'SDG10'!F26)</f>
        <v/>
      </c>
      <c r="L42" s="235" t="str">
        <f>IF('SDG10'!G26="","",'SDG10'!G26)</f>
        <v/>
      </c>
      <c r="M42" s="235" t="str">
        <f>IF('SDG10'!H26="","",'SDG10'!H26)</f>
        <v/>
      </c>
      <c r="N42" s="235" t="str">
        <f>IF('SDG10'!I26="","",'SDG10'!I26)</f>
        <v/>
      </c>
      <c r="O42" s="235" t="str">
        <f>IF('SDG10'!J26="","",'SDG10'!J26)</f>
        <v/>
      </c>
    </row>
    <row r="43" spans="1:15" ht="45">
      <c r="A43" s="235" t="str">
        <f t="shared" si="2"/>
        <v>ODS 10</v>
      </c>
      <c r="B43" s="235" t="str">
        <f>'SDG10'!B27</f>
        <v>10.6.8</v>
      </c>
      <c r="C43" s="235" t="str">
        <f>'SDG10'!D27</f>
        <v>Servicios de apoyo a la discapacidad
Servicios de apoyo para personas con discapacidad.</v>
      </c>
      <c r="D43" s="299">
        <f>'SDG10'!O27</f>
        <v>1.9E-2</v>
      </c>
      <c r="E43" s="235" t="str">
        <f>'SDG10'!N27</f>
        <v>Evidencia pública</v>
      </c>
      <c r="F43" s="235" t="str">
        <f>'SDG10'!K27</f>
        <v>Planeación Institucional</v>
      </c>
      <c r="G43" s="235" t="str">
        <f>IF('SDG10'!L27="","",'SDG10'!L27)</f>
        <v>Bienestar</v>
      </c>
      <c r="H43" s="235" t="str">
        <f>IF('SDG10'!M27="","",'SDG10'!M27)</f>
        <v>Desarrollo Estudiantil / Desarrollo Profesoral / Talento Humano / Biblioteca / Planta Física</v>
      </c>
      <c r="I43" s="235" t="str">
        <f>'SDG10'!P27</f>
        <v>Media</v>
      </c>
      <c r="J43" s="235" t="str">
        <f>'SDG10'!Q27</f>
        <v>Pendiente</v>
      </c>
      <c r="K43" s="235" t="str">
        <f>IF('SDG10'!F27="","",'SDG10'!F27)</f>
        <v/>
      </c>
      <c r="L43" s="235" t="str">
        <f>IF('SDG10'!G27="","",'SDG10'!G27)</f>
        <v/>
      </c>
      <c r="M43" s="235" t="str">
        <f>IF('SDG10'!H27="","",'SDG10'!H27)</f>
        <v/>
      </c>
      <c r="N43" s="235" t="str">
        <f>IF('SDG10'!I27="","",'SDG10'!I27)</f>
        <v/>
      </c>
      <c r="O43" s="235" t="str">
        <f>IF('SDG10'!J27="","",'SDG10'!J27)</f>
        <v/>
      </c>
    </row>
    <row r="44" spans="1:15" ht="60">
      <c r="A44" s="235" t="str">
        <f t="shared" si="2"/>
        <v>ODS 10</v>
      </c>
      <c r="B44" s="235" t="str">
        <f>'SDG10'!B28</f>
        <v>10.6.9</v>
      </c>
      <c r="C44" s="235" t="str">
        <f>'SDG10'!D28</f>
        <v xml:space="preserve">Esquema de acceso para discapacitados
Proporcionar esquemas de acceso para personas con discapacidad, como tutoría u otro apoyo específico.   </v>
      </c>
      <c r="D44" s="299">
        <f>'SDG10'!O28</f>
        <v>1.9E-2</v>
      </c>
      <c r="E44" s="235" t="str">
        <f>'SDG10'!N28</f>
        <v>Evidencia pública</v>
      </c>
      <c r="F44" s="235" t="str">
        <f>'SDG10'!K28</f>
        <v>Planeación Institucional</v>
      </c>
      <c r="G44" s="235" t="str">
        <f>IF('SDG10'!L28="","",'SDG10'!L28)</f>
        <v>Bienestar</v>
      </c>
      <c r="H44" s="235" t="str">
        <f>IF('SDG10'!M28="","",'SDG10'!M28)</f>
        <v>Desarrollo Estudiantil / Desarrollo Profesoral / Talento Humano / Biblioteca / Planta Física</v>
      </c>
      <c r="I44" s="235" t="str">
        <f>'SDG10'!P28</f>
        <v>Media</v>
      </c>
      <c r="J44" s="235" t="str">
        <f>'SDG10'!Q28</f>
        <v>Pendiente</v>
      </c>
      <c r="K44" s="235" t="str">
        <f>IF('SDG10'!F28="","",'SDG10'!F28)</f>
        <v/>
      </c>
      <c r="L44" s="235" t="str">
        <f>IF('SDG10'!G28="","",'SDG10'!G28)</f>
        <v/>
      </c>
      <c r="M44" s="235" t="str">
        <f>IF('SDG10'!H28="","",'SDG10'!H28)</f>
        <v/>
      </c>
      <c r="N44" s="235" t="str">
        <f>IF('SDG10'!I28="","",'SDG10'!I28)</f>
        <v/>
      </c>
      <c r="O44" s="235" t="str">
        <f>IF('SDG10'!J28="","",'SDG10'!J28)</f>
        <v/>
      </c>
    </row>
    <row r="45" spans="1:15" ht="75">
      <c r="A45" s="235" t="str">
        <f t="shared" si="2"/>
        <v>ODS 10</v>
      </c>
      <c r="B45" s="235" t="str">
        <f>'SDG10'!B31</f>
        <v>10.6.10</v>
      </c>
      <c r="C45" s="235" t="str">
        <f>'SDG10'!D31</f>
        <v>Política de adaptación para discapacitados
Tener una política o estrategia de adaptación razonable para las personas con discapacidades, incluida la financiación adecuada</v>
      </c>
      <c r="D45" s="299">
        <f>'SDG10'!O31</f>
        <v>1.9E-2</v>
      </c>
      <c r="E45" s="235" t="str">
        <f>'SDG10'!N31</f>
        <v>Evidencia pública</v>
      </c>
      <c r="F45" s="235" t="str">
        <f>'SDG10'!K31</f>
        <v>Planeación Institucional</v>
      </c>
      <c r="G45" s="235" t="str">
        <f>IF('SDG10'!L31="","",'SDG10'!L31)</f>
        <v>Talento Humano</v>
      </c>
      <c r="H45" s="235" t="str">
        <f>IF('SDG10'!M31="","",'SDG10'!M31)</f>
        <v>Comité de Inclusión / Bienestar</v>
      </c>
      <c r="I45" s="235" t="str">
        <f>'SDG10'!P31</f>
        <v>Media</v>
      </c>
      <c r="J45" s="235" t="str">
        <f>'SDG10'!Q31</f>
        <v>Pendiente</v>
      </c>
      <c r="K45" s="235" t="str">
        <f>IF('SDG10'!F31="","",'SDG10'!F31)</f>
        <v/>
      </c>
      <c r="L45" s="235" t="str">
        <f>IF('SDG10'!G31="","",'SDG10'!G31)</f>
        <v/>
      </c>
      <c r="M45" s="235" t="str">
        <f>IF('SDG10'!H31="","",'SDG10'!H31)</f>
        <v/>
      </c>
      <c r="N45" s="235" t="str">
        <f>IF('SDG10'!I31="","",'SDG10'!I31)</f>
        <v/>
      </c>
      <c r="O45" s="235" t="str">
        <f>IF('SDG10'!J31="","",'SDG10'!J31)</f>
        <v/>
      </c>
    </row>
    <row r="46" spans="1:15" ht="45">
      <c r="A46" s="235" t="str">
        <f t="shared" si="2"/>
        <v>ODS 10</v>
      </c>
      <c r="B46" s="235" t="str">
        <f>'SDG10'!B32</f>
        <v>10.6.11</v>
      </c>
      <c r="C46" s="235" t="str">
        <f>'SDG10'!D32</f>
        <v>Política contra el acoso
Tener una política contra el acoso que cubra la institución y sus operaciones.</v>
      </c>
      <c r="D46" s="299">
        <f>'SDG10'!O32</f>
        <v>9.4999999999999998E-3</v>
      </c>
      <c r="E46" s="235" t="str">
        <f>'SDG10'!N32</f>
        <v>Política / evidencia pública</v>
      </c>
      <c r="F46" s="235" t="str">
        <f>'SDG10'!K32</f>
        <v>Planeación Institucional</v>
      </c>
      <c r="G46" s="235" t="str">
        <f>IF('SDG10'!L32="","",'SDG10'!L32)</f>
        <v>Talento Humano</v>
      </c>
      <c r="H46" s="235" t="str">
        <f>IF('SDG10'!M32="","",'SDG10'!M32)</f>
        <v>Comité de convivencia laboral</v>
      </c>
      <c r="I46" s="235" t="str">
        <f>'SDG10'!P32</f>
        <v>Alta</v>
      </c>
      <c r="J46" s="235" t="str">
        <f>'SDG10'!Q32</f>
        <v>Pendiente</v>
      </c>
      <c r="K46" s="235" t="str">
        <f>IF('SDG10'!F32="","",'SDG10'!F32)</f>
        <v/>
      </c>
      <c r="L46" s="235" t="str">
        <f>IF('SDG10'!G32="","",'SDG10'!G32)</f>
        <v/>
      </c>
      <c r="M46" s="235" t="str">
        <f>IF('SDG10'!H32="","",'SDG10'!H32)</f>
        <v/>
      </c>
      <c r="N46" s="235" t="str">
        <f>IF('SDG10'!I32="","",'SDG10'!I32)</f>
        <v/>
      </c>
      <c r="O46" s="235" t="str">
        <f>IF('SDG10'!J32="","",'SDG10'!J32)</f>
        <v/>
      </c>
    </row>
    <row r="47" spans="1:15" ht="180">
      <c r="A47" s="235" t="str">
        <f t="shared" ref="A47:A72" si="3">"ODS 17"</f>
        <v>ODS 17</v>
      </c>
      <c r="B47" s="235" t="str">
        <f>'SDG17'!B4</f>
        <v>17.2.1</v>
      </c>
      <c r="C47" s="235" t="str">
        <f>'SDG17'!D4</f>
        <v>Relaciones con ONG regionales y gobierno para la política de los ODS 
Tener participación directa o aportes en el gobierno nacional o en organizaciones no gubernamentales regionales, el desarrollo de políticas de los ODS, incluida la identificación de problemas y desafíos, el desarrollo de políticas y estrategias, el modelado de futuros probables con y sin intervenciones, el monitoreo y la presentación de informes sobre las intervenciones, y la habilitación de la gestión adaptativa</v>
      </c>
      <c r="D47" s="299">
        <f>'SDG17'!O4</f>
        <v>3.6999999999999998E-2</v>
      </c>
      <c r="E47" s="235" t="str">
        <f>'SDG17'!N4</f>
        <v>Evidencia pública</v>
      </c>
      <c r="F47" s="235" t="str">
        <f>'SDG17'!K4</f>
        <v>Planeación Institucional</v>
      </c>
      <c r="G47" s="235" t="str">
        <f>IF('SDG17'!L4="","",'SDG17'!L4)</f>
        <v>Planeación Institucional</v>
      </c>
      <c r="H47" s="235" t="str">
        <f>IF('SDG17'!M4="","",'SDG17'!M4)</f>
        <v>Vicerrectoría de Extensión / Vicerrectoría de Investigaciones / DRNI / Comunicaciones</v>
      </c>
      <c r="I47" s="235" t="str">
        <f>'SDG17'!P4</f>
        <v>Media</v>
      </c>
      <c r="J47" s="235" t="str">
        <f>'SDG17'!Q4</f>
        <v>Pendiente</v>
      </c>
      <c r="K47" s="235" t="str">
        <f>IF('SDG17'!F4="","",'SDG17'!F4)</f>
        <v/>
      </c>
      <c r="L47" s="235" t="str">
        <f>IF('SDG17'!G4="","",'SDG17'!G4)</f>
        <v/>
      </c>
      <c r="M47" s="235" t="str">
        <f>IF('SDG17'!H4="","",'SDG17'!H4)</f>
        <v/>
      </c>
      <c r="N47" s="235" t="str">
        <f>IF('SDG17'!I4="","",'SDG17'!I4)</f>
        <v/>
      </c>
      <c r="O47" s="235" t="str">
        <f>IF('SDG17'!J4="","",'SDG17'!J4)</f>
        <v/>
      </c>
    </row>
    <row r="48" spans="1:15" ht="75">
      <c r="A48" s="235" t="str">
        <f t="shared" si="3"/>
        <v>ODS 17</v>
      </c>
      <c r="B48" s="235" t="str">
        <f>'SDG17'!B5</f>
        <v>17.2.2</v>
      </c>
      <c r="C48" s="235" t="str">
        <f>'SDG17'!D5</f>
        <v>Diálogo intersectorial sobre los ODS
Iniciar y participar en un diálogo intersectorial sobre los ODS, por ejemplo, conferencias en las que participen gobiernos u ONG.</v>
      </c>
      <c r="D48" s="299">
        <f>'SDG17'!O5</f>
        <v>3.6999999999999998E-2</v>
      </c>
      <c r="E48" s="235" t="str">
        <f>'SDG17'!N5</f>
        <v>Evidencia pública</v>
      </c>
      <c r="F48" s="235" t="str">
        <f>'SDG17'!K5</f>
        <v>Planeación Institucional</v>
      </c>
      <c r="G48" s="235" t="str">
        <f>IF('SDG17'!L5="","",'SDG17'!L5)</f>
        <v>Planeación Institucional</v>
      </c>
      <c r="H48" s="235" t="str">
        <f>IF('SDG17'!M5="","",'SDG17'!M5)</f>
        <v>Vicerrectoría de Extensión / Vicerrectoría de Investigaciones / Comunicaciones</v>
      </c>
      <c r="I48" s="235" t="str">
        <f>'SDG17'!P5</f>
        <v>Media</v>
      </c>
      <c r="J48" s="235" t="str">
        <f>'SDG17'!Q5</f>
        <v>Pendiente</v>
      </c>
      <c r="K48" s="235" t="str">
        <f>IF('SDG17'!F5="","",'SDG17'!F5)</f>
        <v/>
      </c>
      <c r="L48" s="235" t="str">
        <f>IF('SDG17'!G5="","",'SDG17'!G5)</f>
        <v/>
      </c>
      <c r="M48" s="235" t="str">
        <f>IF('SDG17'!H5="","",'SDG17'!H5)</f>
        <v/>
      </c>
      <c r="N48" s="235" t="str">
        <f>IF('SDG17'!I5="","",'SDG17'!I5)</f>
        <v/>
      </c>
      <c r="O48" s="235" t="str">
        <f>IF('SDG17'!J5="","",'SDG17'!J5)</f>
        <v/>
      </c>
    </row>
    <row r="49" spans="1:15" ht="75">
      <c r="A49" s="235" t="str">
        <f t="shared" si="3"/>
        <v>ODS 17</v>
      </c>
      <c r="B49" s="235" t="str">
        <f>'SDG17'!B6</f>
        <v>17.2.3</v>
      </c>
      <c r="C49" s="235" t="str">
        <f>'SDG17'!D6</f>
        <v>Recopilación de datos de colaboración internacional para los ODS
Participar en la colaboración internacional en la recopilación o medición de datos para los ODS</v>
      </c>
      <c r="D49" s="299">
        <f>'SDG17'!O6</f>
        <v>3.6999999999999998E-2</v>
      </c>
      <c r="E49" s="235" t="str">
        <f>'SDG17'!N6</f>
        <v>Evidencia pública</v>
      </c>
      <c r="F49" s="235" t="str">
        <f>'SDG17'!K6</f>
        <v>Planeación Institucional</v>
      </c>
      <c r="G49" s="235" t="str">
        <f>IF('SDG17'!L6="","",'SDG17'!L6)</f>
        <v>Planeación Institucional</v>
      </c>
      <c r="H49" s="235" t="str">
        <f>IF('SDG17'!M6="","",'SDG17'!M6)</f>
        <v>Vicerrectoría de Investigaciones / DRNI</v>
      </c>
      <c r="I49" s="235" t="str">
        <f>'SDG17'!P6</f>
        <v>Media</v>
      </c>
      <c r="J49" s="235" t="str">
        <f>'SDG17'!Q6</f>
        <v>Pendiente</v>
      </c>
      <c r="K49" s="235" t="str">
        <f>IF('SDG17'!F6="","",'SDG17'!F6)</f>
        <v/>
      </c>
      <c r="L49" s="235" t="str">
        <f>IF('SDG17'!G6="","",'SDG17'!G6)</f>
        <v/>
      </c>
      <c r="M49" s="235" t="str">
        <f>IF('SDG17'!H6="","",'SDG17'!H6)</f>
        <v/>
      </c>
      <c r="N49" s="235" t="str">
        <f>IF('SDG17'!I6="","",'SDG17'!I6)</f>
        <v/>
      </c>
      <c r="O49" s="235" t="str">
        <f>IF('SDG17'!J6="","",'SDG17'!J6)</f>
        <v/>
      </c>
    </row>
    <row r="50" spans="1:15" ht="105">
      <c r="A50" s="235" t="str">
        <f t="shared" si="3"/>
        <v>ODS 17</v>
      </c>
      <c r="B50" s="235" t="str">
        <f>'SDG17'!B7</f>
        <v>17.2.4</v>
      </c>
      <c r="C50" s="235" t="str">
        <f>'SDG17'!D7</f>
        <v>Colaboración para las mejores prácticas de los ODS
A través de la colaboración y la investigación internacionales, revisar los enfoques comparativos y desarrollar las mejores prácticas internacionales para abordar los ODS.</v>
      </c>
      <c r="D50" s="299">
        <f>'SDG17'!O7</f>
        <v>3.6999999999999998E-2</v>
      </c>
      <c r="E50" s="235" t="str">
        <f>'SDG17'!N7</f>
        <v>Evidencia pública</v>
      </c>
      <c r="F50" s="235" t="str">
        <f>'SDG17'!K7</f>
        <v>Planeación Institucional</v>
      </c>
      <c r="G50" s="235" t="str">
        <f>IF('SDG17'!L7="","",'SDG17'!L7)</f>
        <v>Planeación Institucional</v>
      </c>
      <c r="H50" s="235" t="str">
        <f>IF('SDG17'!M7="","",'SDG17'!M7)</f>
        <v>Vicerrectoría de Investigaciones / DRNI</v>
      </c>
      <c r="I50" s="235" t="str">
        <f>'SDG17'!P7</f>
        <v>Media</v>
      </c>
      <c r="J50" s="235" t="str">
        <f>'SDG17'!Q7</f>
        <v>Pendiente</v>
      </c>
      <c r="K50" s="235" t="str">
        <f>IF('SDG17'!F7="","",'SDG17'!F7)</f>
        <v/>
      </c>
      <c r="L50" s="235" t="str">
        <f>IF('SDG17'!G7="","",'SDG17'!G7)</f>
        <v/>
      </c>
      <c r="M50" s="235" t="str">
        <f>IF('SDG17'!H7="","",'SDG17'!H7)</f>
        <v/>
      </c>
      <c r="N50" s="235" t="str">
        <f>IF('SDG17'!I7="","",'SDG17'!I7)</f>
        <v/>
      </c>
      <c r="O50" s="235" t="str">
        <f>IF('SDG17'!J7="","",'SDG17'!J7)</f>
        <v/>
      </c>
    </row>
    <row r="51" spans="1:15" ht="75">
      <c r="A51" s="235" t="str">
        <f t="shared" si="3"/>
        <v>ODS 17</v>
      </c>
      <c r="B51" s="235" t="str">
        <f>'SDG17'!B8</f>
        <v>17.2.5</v>
      </c>
      <c r="C51" s="235" t="str">
        <f>'SDG17'!D8</f>
        <v>Colaboración con ONG para los ODS
Colaborar con las ONG para abordar los ODS a través de: programas de voluntariado estudiantil, programas de investigación o desarrollo de recursos educativos</v>
      </c>
      <c r="D51" s="299">
        <f>'SDG17'!O8</f>
        <v>3.6999999999999998E-2</v>
      </c>
      <c r="E51" s="235" t="str">
        <f>'SDG17'!N8</f>
        <v>Evidencia pública</v>
      </c>
      <c r="F51" s="235" t="str">
        <f>'SDG17'!K8</f>
        <v>Planeación Institucional</v>
      </c>
      <c r="G51" s="235" t="str">
        <f>IF('SDG17'!L8="","",'SDG17'!L8)</f>
        <v>Planeación Institucional</v>
      </c>
      <c r="H51" s="235" t="str">
        <f>IF('SDG17'!M8="","",'SDG17'!M8)</f>
        <v>Bienestar / Vicerrectoría de Investigaciones / DRNI / Educación Virtual</v>
      </c>
      <c r="I51" s="235" t="str">
        <f>'SDG17'!P8</f>
        <v>Media</v>
      </c>
      <c r="J51" s="235" t="str">
        <f>'SDG17'!Q8</f>
        <v>Pendiente</v>
      </c>
      <c r="K51" s="235" t="str">
        <f>IF('SDG17'!F8="","",'SDG17'!F8)</f>
        <v/>
      </c>
      <c r="L51" s="235" t="str">
        <f>IF('SDG17'!G8="","",'SDG17'!G8)</f>
        <v/>
      </c>
      <c r="M51" s="235" t="str">
        <f>IF('SDG17'!H8="","",'SDG17'!H8)</f>
        <v/>
      </c>
      <c r="N51" s="235" t="str">
        <f>IF('SDG17'!I8="","",'SDG17'!I8)</f>
        <v/>
      </c>
      <c r="O51" s="235" t="str">
        <f>IF('SDG17'!J8="","",'SDG17'!J8)</f>
        <v/>
      </c>
    </row>
    <row r="52" spans="1:15" ht="75">
      <c r="A52" s="235" t="str">
        <f t="shared" si="3"/>
        <v>ODS 17</v>
      </c>
      <c r="B52" s="235" t="str">
        <f>'SDG17'!B13</f>
        <v>17.3.1</v>
      </c>
      <c r="C52" s="235" t="str">
        <f>'SDG17'!D13</f>
        <v>Publicación de informes sobre los ODS - por ODS
Publicar el progreso con respecto al ODS 1, ya sea individualmente o dentro de un informe anual</v>
      </c>
      <c r="D52" s="299">
        <f>'SDG17'!O13</f>
        <v>1.6E-2</v>
      </c>
      <c r="E52" s="235" t="str">
        <f>'SDG17'!N13</f>
        <v>Evidencia pública</v>
      </c>
      <c r="F52" s="235" t="str">
        <f>'SDG17'!K13</f>
        <v>Planeación Institucional</v>
      </c>
      <c r="G52" s="235" t="str">
        <f>IF('SDG17'!L13="","",'SDG17'!L13)</f>
        <v>Planeación Institucional</v>
      </c>
      <c r="H52" s="235" t="str">
        <f>IF('SDG17'!M13="","",'SDG17'!M13)</f>
        <v>Comunicaciones / Vicerrectorías y unidades responsables por ODS</v>
      </c>
      <c r="I52" s="235" t="str">
        <f>'SDG17'!P13</f>
        <v>Media</v>
      </c>
      <c r="J52" s="235" t="str">
        <f>'SDG17'!Q13</f>
        <v>Pendiente</v>
      </c>
      <c r="K52" s="235" t="str">
        <f>IF('SDG17'!F13="","",'SDG17'!F13)</f>
        <v/>
      </c>
      <c r="L52" s="235" t="str">
        <f>IF('SDG17'!G13="","",'SDG17'!G13)</f>
        <v/>
      </c>
      <c r="M52" s="235" t="str">
        <f>IF('SDG17'!H13="","",'SDG17'!H13)</f>
        <v/>
      </c>
      <c r="N52" s="235" t="str">
        <f>IF('SDG17'!I13="","",'SDG17'!I13)</f>
        <v/>
      </c>
      <c r="O52" s="235" t="str">
        <f>IF('SDG17'!J13="","",'SDG17'!J13)</f>
        <v/>
      </c>
    </row>
    <row r="53" spans="1:15" ht="75">
      <c r="A53" s="235" t="str">
        <f t="shared" si="3"/>
        <v>ODS 17</v>
      </c>
      <c r="B53" s="235" t="str">
        <f>'SDG17'!B16</f>
        <v>17.3.2</v>
      </c>
      <c r="C53" s="235" t="str">
        <f>'SDG17'!D16</f>
        <v>Publicación de informes sobre los ODS - por ODS
Publicar el progreso con respecto al ODS 2, ya sea individualmente o dentro de un informe anual</v>
      </c>
      <c r="D53" s="299">
        <f>'SDG17'!O16</f>
        <v>1.6E-2</v>
      </c>
      <c r="E53" s="235" t="str">
        <f>'SDG17'!N16</f>
        <v>Evidencia pública</v>
      </c>
      <c r="F53" s="235" t="str">
        <f>'SDG17'!K16</f>
        <v>Planeación Institucional</v>
      </c>
      <c r="G53" s="235" t="str">
        <f>IF('SDG17'!L16="","",'SDG17'!L16)</f>
        <v>Planeación Institucional</v>
      </c>
      <c r="H53" s="235" t="str">
        <f>IF('SDG17'!M16="","",'SDG17'!M16)</f>
        <v>Comunicaciones / Vicerrectorías y unidades responsables por ODS</v>
      </c>
      <c r="I53" s="235" t="str">
        <f>'SDG17'!P16</f>
        <v>Media</v>
      </c>
      <c r="J53" s="235" t="str">
        <f>'SDG17'!Q16</f>
        <v>Pendiente</v>
      </c>
      <c r="K53" s="235" t="str">
        <f>IF('SDG17'!F16="","",'SDG17'!F16)</f>
        <v/>
      </c>
      <c r="L53" s="235" t="str">
        <f>IF('SDG17'!G16="","",'SDG17'!G16)</f>
        <v/>
      </c>
      <c r="M53" s="235" t="str">
        <f>IF('SDG17'!H16="","",'SDG17'!H16)</f>
        <v/>
      </c>
      <c r="N53" s="235" t="str">
        <f>IF('SDG17'!I16="","",'SDG17'!I16)</f>
        <v/>
      </c>
      <c r="O53" s="235" t="str">
        <f>IF('SDG17'!J16="","",'SDG17'!J16)</f>
        <v/>
      </c>
    </row>
    <row r="54" spans="1:15" ht="75">
      <c r="A54" s="235" t="str">
        <f t="shared" si="3"/>
        <v>ODS 17</v>
      </c>
      <c r="B54" s="235" t="str">
        <f>'SDG17'!B19</f>
        <v>17.3.3</v>
      </c>
      <c r="C54" s="235" t="str">
        <f>'SDG17'!D19</f>
        <v>Publicación de informes sobre los ODS - por ODS
Publicar el progreso con respecto al ODS 3, ya sea individualmente o dentro de un informe anual</v>
      </c>
      <c r="D54" s="299">
        <f>'SDG17'!O19</f>
        <v>1.6E-2</v>
      </c>
      <c r="E54" s="235" t="str">
        <f>'SDG17'!N19</f>
        <v>Evidencia pública</v>
      </c>
      <c r="F54" s="235" t="str">
        <f>'SDG17'!K19</f>
        <v>Planeación Institucional</v>
      </c>
      <c r="G54" s="235" t="str">
        <f>IF('SDG17'!L19="","",'SDG17'!L19)</f>
        <v>Planeación Institucional</v>
      </c>
      <c r="H54" s="235" t="str">
        <f>IF('SDG17'!M19="","",'SDG17'!M19)</f>
        <v>Comunicaciones / Vicerrectorías y unidades responsables por ODS</v>
      </c>
      <c r="I54" s="235" t="str">
        <f>'SDG17'!P19</f>
        <v>Media</v>
      </c>
      <c r="J54" s="235" t="str">
        <f>'SDG17'!Q19</f>
        <v>Pendiente</v>
      </c>
      <c r="K54" s="235" t="str">
        <f>IF('SDG17'!F19="","",'SDG17'!F19)</f>
        <v/>
      </c>
      <c r="L54" s="235" t="str">
        <f>IF('SDG17'!G19="","",'SDG17'!G19)</f>
        <v/>
      </c>
      <c r="M54" s="235" t="str">
        <f>IF('SDG17'!H19="","",'SDG17'!H19)</f>
        <v/>
      </c>
      <c r="N54" s="235" t="str">
        <f>IF('SDG17'!I19="","",'SDG17'!I19)</f>
        <v/>
      </c>
      <c r="O54" s="235" t="str">
        <f>IF('SDG17'!J19="","",'SDG17'!J19)</f>
        <v/>
      </c>
    </row>
    <row r="55" spans="1:15" ht="75">
      <c r="A55" s="235" t="str">
        <f t="shared" si="3"/>
        <v>ODS 17</v>
      </c>
      <c r="B55" s="235" t="str">
        <f>'SDG17'!B22</f>
        <v>17.3.4</v>
      </c>
      <c r="C55" s="235" t="str">
        <f>'SDG17'!D22</f>
        <v>Publicación de informes sobre los ODS - por ODS
Publicar el progreso con respecto al ODS 4, ya sea individualmente o dentro de un informe anual</v>
      </c>
      <c r="D55" s="299">
        <f>'SDG17'!O22</f>
        <v>1.6E-2</v>
      </c>
      <c r="E55" s="235" t="str">
        <f>'SDG17'!N22</f>
        <v>Evidencia pública</v>
      </c>
      <c r="F55" s="235" t="str">
        <f>'SDG17'!K22</f>
        <v>Planeación Institucional</v>
      </c>
      <c r="G55" s="235" t="str">
        <f>IF('SDG17'!L22="","",'SDG17'!L22)</f>
        <v>Planeación Institucional</v>
      </c>
      <c r="H55" s="235" t="str">
        <f>IF('SDG17'!M22="","",'SDG17'!M22)</f>
        <v>Comunicaciones / Vicerrectorías y unidades responsables por ODS</v>
      </c>
      <c r="I55" s="235" t="str">
        <f>'SDG17'!P22</f>
        <v>Media</v>
      </c>
      <c r="J55" s="235" t="str">
        <f>'SDG17'!Q22</f>
        <v>Pendiente</v>
      </c>
      <c r="K55" s="235" t="str">
        <f>IF('SDG17'!F22="","",'SDG17'!F22)</f>
        <v/>
      </c>
      <c r="L55" s="235" t="str">
        <f>IF('SDG17'!G22="","",'SDG17'!G22)</f>
        <v/>
      </c>
      <c r="M55" s="235" t="str">
        <f>IF('SDG17'!H22="","",'SDG17'!H22)</f>
        <v/>
      </c>
      <c r="N55" s="235" t="str">
        <f>IF('SDG17'!I22="","",'SDG17'!I22)</f>
        <v/>
      </c>
      <c r="O55" s="235" t="str">
        <f>IF('SDG17'!J22="","",'SDG17'!J22)</f>
        <v/>
      </c>
    </row>
    <row r="56" spans="1:15" ht="75">
      <c r="A56" s="235" t="str">
        <f t="shared" si="3"/>
        <v>ODS 17</v>
      </c>
      <c r="B56" s="235" t="str">
        <f>'SDG17'!B25</f>
        <v>17.3.5</v>
      </c>
      <c r="C56" s="235" t="str">
        <f>'SDG17'!D25</f>
        <v>Publicación de informes sobre los ODS - por ODS
Publicar el progreso con respecto al ODS 5, ya sea individualmente o dentro de un informe anual</v>
      </c>
      <c r="D56" s="299">
        <f>'SDG17'!O25</f>
        <v>1.6E-2</v>
      </c>
      <c r="E56" s="235" t="str">
        <f>'SDG17'!N25</f>
        <v>Evidencia pública</v>
      </c>
      <c r="F56" s="235" t="str">
        <f>'SDG17'!K25</f>
        <v>Planeación Institucional</v>
      </c>
      <c r="G56" s="235" t="str">
        <f>IF('SDG17'!L25="","",'SDG17'!L25)</f>
        <v>Planeación Institucional</v>
      </c>
      <c r="H56" s="235" t="str">
        <f>IF('SDG17'!M25="","",'SDG17'!M25)</f>
        <v>Comunicaciones / Vicerrectorías y unidades responsables por ODS</v>
      </c>
      <c r="I56" s="235" t="str">
        <f>'SDG17'!P25</f>
        <v>Media</v>
      </c>
      <c r="J56" s="235" t="str">
        <f>'SDG17'!Q25</f>
        <v>Pendiente</v>
      </c>
      <c r="K56" s="235" t="str">
        <f>IF('SDG17'!F25="","",'SDG17'!F25)</f>
        <v/>
      </c>
      <c r="L56" s="235" t="str">
        <f>IF('SDG17'!G25="","",'SDG17'!G25)</f>
        <v/>
      </c>
      <c r="M56" s="235" t="str">
        <f>IF('SDG17'!H25="","",'SDG17'!H25)</f>
        <v/>
      </c>
      <c r="N56" s="235" t="str">
        <f>IF('SDG17'!I25="","",'SDG17'!I25)</f>
        <v/>
      </c>
      <c r="O56" s="235" t="str">
        <f>IF('SDG17'!J25="","",'SDG17'!J25)</f>
        <v/>
      </c>
    </row>
    <row r="57" spans="1:15" ht="75">
      <c r="A57" s="235" t="str">
        <f t="shared" si="3"/>
        <v>ODS 17</v>
      </c>
      <c r="B57" s="235" t="str">
        <f>'SDG17'!B28</f>
        <v>17.3.6</v>
      </c>
      <c r="C57" s="235" t="str">
        <f>'SDG17'!D28</f>
        <v>Publicación de informes sobre los ODS - por ODS
Publicar el progreso con respecto al ODS 6, ya sea individualmente o dentro de un informe anual</v>
      </c>
      <c r="D57" s="299">
        <f>'SDG17'!O28</f>
        <v>1.6E-2</v>
      </c>
      <c r="E57" s="235" t="str">
        <f>'SDG17'!N28</f>
        <v>Evidencia pública</v>
      </c>
      <c r="F57" s="235" t="str">
        <f>'SDG17'!K28</f>
        <v>Planeación Institucional</v>
      </c>
      <c r="G57" s="235" t="str">
        <f>IF('SDG17'!L28="","",'SDG17'!L28)</f>
        <v>Planeación Institucional</v>
      </c>
      <c r="H57" s="235" t="str">
        <f>IF('SDG17'!M28="","",'SDG17'!M28)</f>
        <v>Comunicaciones / Vicerrectorías y unidades responsables por ODS</v>
      </c>
      <c r="I57" s="235" t="str">
        <f>'SDG17'!P28</f>
        <v>Media</v>
      </c>
      <c r="J57" s="235" t="str">
        <f>'SDG17'!Q28</f>
        <v>Pendiente</v>
      </c>
      <c r="K57" s="235" t="str">
        <f>IF('SDG17'!F28="","",'SDG17'!F28)</f>
        <v/>
      </c>
      <c r="L57" s="235" t="str">
        <f>IF('SDG17'!G28="","",'SDG17'!G28)</f>
        <v/>
      </c>
      <c r="M57" s="235" t="str">
        <f>IF('SDG17'!H28="","",'SDG17'!H28)</f>
        <v/>
      </c>
      <c r="N57" s="235" t="str">
        <f>IF('SDG17'!I28="","",'SDG17'!I28)</f>
        <v/>
      </c>
      <c r="O57" s="235" t="str">
        <f>IF('SDG17'!J28="","",'SDG17'!J28)</f>
        <v/>
      </c>
    </row>
    <row r="58" spans="1:15" ht="75">
      <c r="A58" s="235" t="str">
        <f t="shared" si="3"/>
        <v>ODS 17</v>
      </c>
      <c r="B58" s="235" t="str">
        <f>'SDG17'!B31</f>
        <v>17.3.7</v>
      </c>
      <c r="C58" s="235" t="str">
        <f>'SDG17'!D31</f>
        <v>Publicación de informes sobre los ODS - por ODS
Publicar el progreso con respecto al ODS 7, ya sea individualmente o dentro de un informe anual</v>
      </c>
      <c r="D58" s="299">
        <f>'SDG17'!O31</f>
        <v>1.6E-2</v>
      </c>
      <c r="E58" s="235" t="str">
        <f>'SDG17'!N31</f>
        <v>Evidencia pública</v>
      </c>
      <c r="F58" s="235" t="str">
        <f>'SDG17'!K31</f>
        <v>Planeación Institucional</v>
      </c>
      <c r="G58" s="235" t="str">
        <f>IF('SDG17'!L31="","",'SDG17'!L31)</f>
        <v>Planeación Institucional</v>
      </c>
      <c r="H58" s="235" t="str">
        <f>IF('SDG17'!M31="","",'SDG17'!M31)</f>
        <v>Comunicaciones / Vicerrectorías y unidades responsables por ODS</v>
      </c>
      <c r="I58" s="235" t="str">
        <f>'SDG17'!P31</f>
        <v>Media</v>
      </c>
      <c r="J58" s="235" t="str">
        <f>'SDG17'!Q31</f>
        <v>Pendiente</v>
      </c>
      <c r="K58" s="235" t="str">
        <f>IF('SDG17'!F31="","",'SDG17'!F31)</f>
        <v/>
      </c>
      <c r="L58" s="235" t="str">
        <f>IF('SDG17'!G31="","",'SDG17'!G31)</f>
        <v/>
      </c>
      <c r="M58" s="235" t="str">
        <f>IF('SDG17'!H31="","",'SDG17'!H31)</f>
        <v/>
      </c>
      <c r="N58" s="235" t="str">
        <f>IF('SDG17'!I31="","",'SDG17'!I31)</f>
        <v/>
      </c>
      <c r="O58" s="235" t="str">
        <f>IF('SDG17'!J31="","",'SDG17'!J31)</f>
        <v/>
      </c>
    </row>
    <row r="59" spans="1:15" ht="75">
      <c r="A59" s="235" t="str">
        <f t="shared" si="3"/>
        <v>ODS 17</v>
      </c>
      <c r="B59" s="235" t="str">
        <f>'SDG17'!B34</f>
        <v>17.3.8</v>
      </c>
      <c r="C59" s="235" t="str">
        <f>'SDG17'!D34</f>
        <v>Publicación de informes sobre los ODS - por ODS
Publicar el progreso con respecto al ODS 8, ya sea individualmente o dentro de un informe anual</v>
      </c>
      <c r="D59" s="299">
        <f>'SDG17'!O34</f>
        <v>1.6E-2</v>
      </c>
      <c r="E59" s="235" t="str">
        <f>'SDG17'!N34</f>
        <v>Evidencia pública</v>
      </c>
      <c r="F59" s="235" t="str">
        <f>'SDG17'!K34</f>
        <v>Planeación Institucional</v>
      </c>
      <c r="G59" s="235" t="str">
        <f>IF('SDG17'!L34="","",'SDG17'!L34)</f>
        <v>Planeación Institucional</v>
      </c>
      <c r="H59" s="235" t="str">
        <f>IF('SDG17'!M34="","",'SDG17'!M34)</f>
        <v>Comunicaciones / Vicerrectorías y unidades responsables por ODS</v>
      </c>
      <c r="I59" s="235" t="str">
        <f>'SDG17'!P34</f>
        <v>Media</v>
      </c>
      <c r="J59" s="235" t="str">
        <f>'SDG17'!Q34</f>
        <v>Pendiente</v>
      </c>
      <c r="K59" s="235" t="str">
        <f>IF('SDG17'!F34="","",'SDG17'!F34)</f>
        <v/>
      </c>
      <c r="L59" s="235" t="str">
        <f>IF('SDG17'!G34="","",'SDG17'!G34)</f>
        <v/>
      </c>
      <c r="M59" s="235" t="str">
        <f>IF('SDG17'!H34="","",'SDG17'!H34)</f>
        <v/>
      </c>
      <c r="N59" s="235" t="str">
        <f>IF('SDG17'!I34="","",'SDG17'!I34)</f>
        <v/>
      </c>
      <c r="O59" s="235" t="str">
        <f>IF('SDG17'!J34="","",'SDG17'!J34)</f>
        <v/>
      </c>
    </row>
    <row r="60" spans="1:15" ht="75">
      <c r="A60" s="235" t="str">
        <f t="shared" si="3"/>
        <v>ODS 17</v>
      </c>
      <c r="B60" s="235" t="str">
        <f>'SDG17'!B37</f>
        <v>17.3.9</v>
      </c>
      <c r="C60" s="235" t="str">
        <f>'SDG17'!D37</f>
        <v>Publicación de informes sobre los ODS - por ODS
Publicar el progreso con respecto al ODS 9, ya sea individualmente o dentro de un informe anual</v>
      </c>
      <c r="D60" s="299">
        <f>'SDG17'!O37</f>
        <v>1.6E-2</v>
      </c>
      <c r="E60" s="235" t="str">
        <f>'SDG17'!N37</f>
        <v>Evidencia pública</v>
      </c>
      <c r="F60" s="235" t="str">
        <f>'SDG17'!K37</f>
        <v>Planeación Institucional</v>
      </c>
      <c r="G60" s="235" t="str">
        <f>IF('SDG17'!L37="","",'SDG17'!L37)</f>
        <v>Planeación Institucional</v>
      </c>
      <c r="H60" s="235" t="str">
        <f>IF('SDG17'!M37="","",'SDG17'!M37)</f>
        <v>Comunicaciones / Vicerrectorías y unidades responsables por ODS</v>
      </c>
      <c r="I60" s="235" t="str">
        <f>'SDG17'!P37</f>
        <v>Media</v>
      </c>
      <c r="J60" s="235" t="str">
        <f>'SDG17'!Q37</f>
        <v>Pendiente</v>
      </c>
      <c r="K60" s="235" t="str">
        <f>IF('SDG17'!F37="","",'SDG17'!F37)</f>
        <v/>
      </c>
      <c r="L60" s="235" t="str">
        <f>IF('SDG17'!G37="","",'SDG17'!G37)</f>
        <v/>
      </c>
      <c r="M60" s="235" t="str">
        <f>IF('SDG17'!H37="","",'SDG17'!H37)</f>
        <v/>
      </c>
      <c r="N60" s="235" t="str">
        <f>IF('SDG17'!I37="","",'SDG17'!I37)</f>
        <v/>
      </c>
      <c r="O60" s="235" t="str">
        <f>IF('SDG17'!J37="","",'SDG17'!J37)</f>
        <v/>
      </c>
    </row>
    <row r="61" spans="1:15" ht="75">
      <c r="A61" s="235" t="str">
        <f t="shared" si="3"/>
        <v>ODS 17</v>
      </c>
      <c r="B61" s="235" t="str">
        <f>'SDG17'!B40</f>
        <v>17.3.10</v>
      </c>
      <c r="C61" s="235" t="str">
        <f>'SDG17'!D40</f>
        <v>Publicación de informes sobre los ODS - por ODS
Publicar el progreso con respecto al ODS 10, ya sea individualmente o dentro de un informe anual</v>
      </c>
      <c r="D61" s="299">
        <f>'SDG17'!O40</f>
        <v>1.6E-2</v>
      </c>
      <c r="E61" s="235" t="str">
        <f>'SDG17'!N40</f>
        <v>Evidencia pública</v>
      </c>
      <c r="F61" s="235" t="str">
        <f>'SDG17'!K40</f>
        <v>Planeación Institucional</v>
      </c>
      <c r="G61" s="235" t="str">
        <f>IF('SDG17'!L40="","",'SDG17'!L40)</f>
        <v>Planeación Institucional</v>
      </c>
      <c r="H61" s="235" t="str">
        <f>IF('SDG17'!M40="","",'SDG17'!M40)</f>
        <v>Comunicaciones / Vicerrectorías y unidades responsables por ODS</v>
      </c>
      <c r="I61" s="235" t="str">
        <f>'SDG17'!P40</f>
        <v>Media</v>
      </c>
      <c r="J61" s="235" t="str">
        <f>'SDG17'!Q40</f>
        <v>Pendiente</v>
      </c>
      <c r="K61" s="235" t="str">
        <f>IF('SDG17'!F40="","",'SDG17'!F40)</f>
        <v/>
      </c>
      <c r="L61" s="235" t="str">
        <f>IF('SDG17'!G40="","",'SDG17'!G40)</f>
        <v/>
      </c>
      <c r="M61" s="235" t="str">
        <f>IF('SDG17'!H40="","",'SDG17'!H40)</f>
        <v/>
      </c>
      <c r="N61" s="235" t="str">
        <f>IF('SDG17'!I40="","",'SDG17'!I40)</f>
        <v/>
      </c>
      <c r="O61" s="235" t="str">
        <f>IF('SDG17'!J40="","",'SDG17'!J40)</f>
        <v/>
      </c>
    </row>
    <row r="62" spans="1:15" ht="75">
      <c r="A62" s="235" t="str">
        <f t="shared" si="3"/>
        <v>ODS 17</v>
      </c>
      <c r="B62" s="235" t="str">
        <f>'SDG17'!B43</f>
        <v>17.3.11</v>
      </c>
      <c r="C62" s="235" t="str">
        <f>'SDG17'!D43</f>
        <v>Publicación de informes sobre los ODS - por ODS
Publicar el progreso con respecto al ODS 11, ya sea individualmente o dentro de un informe anual</v>
      </c>
      <c r="D62" s="299">
        <f>'SDG17'!O43</f>
        <v>1.6E-2</v>
      </c>
      <c r="E62" s="235" t="str">
        <f>'SDG17'!N43</f>
        <v>Evidencia pública</v>
      </c>
      <c r="F62" s="235" t="str">
        <f>'SDG17'!K43</f>
        <v>Planeación Institucional</v>
      </c>
      <c r="G62" s="235" t="str">
        <f>IF('SDG17'!L43="","",'SDG17'!L43)</f>
        <v>Planeación Institucional</v>
      </c>
      <c r="H62" s="235" t="str">
        <f>IF('SDG17'!M43="","",'SDG17'!M43)</f>
        <v>Comunicaciones / Vicerrectorías y unidades responsables por ODS</v>
      </c>
      <c r="I62" s="235" t="str">
        <f>'SDG17'!P43</f>
        <v>Media</v>
      </c>
      <c r="J62" s="235" t="str">
        <f>'SDG17'!Q43</f>
        <v>Pendiente</v>
      </c>
      <c r="K62" s="235" t="str">
        <f>IF('SDG17'!F43="","",'SDG17'!F43)</f>
        <v/>
      </c>
      <c r="L62" s="235" t="str">
        <f>IF('SDG17'!G43="","",'SDG17'!G43)</f>
        <v/>
      </c>
      <c r="M62" s="235" t="str">
        <f>IF('SDG17'!H43="","",'SDG17'!H43)</f>
        <v/>
      </c>
      <c r="N62" s="235" t="str">
        <f>IF('SDG17'!I43="","",'SDG17'!I43)</f>
        <v/>
      </c>
      <c r="O62" s="235" t="str">
        <f>IF('SDG17'!J43="","",'SDG17'!J43)</f>
        <v/>
      </c>
    </row>
    <row r="63" spans="1:15" ht="75">
      <c r="A63" s="235" t="str">
        <f t="shared" si="3"/>
        <v>ODS 17</v>
      </c>
      <c r="B63" s="235" t="str">
        <f>'SDG17'!B46</f>
        <v>17.3.12</v>
      </c>
      <c r="C63" s="235" t="str">
        <f>'SDG17'!D46</f>
        <v>Publicación de informes sobre los ODS - por ODS
Publicar el progreso con respecto al ODS 12, ya sea individualmente o dentro de un informe anual</v>
      </c>
      <c r="D63" s="299">
        <f>'SDG17'!O46</f>
        <v>1.6E-2</v>
      </c>
      <c r="E63" s="235" t="str">
        <f>'SDG17'!N46</f>
        <v>Evidencia pública</v>
      </c>
      <c r="F63" s="235" t="str">
        <f>'SDG17'!K46</f>
        <v>Planeación Institucional</v>
      </c>
      <c r="G63" s="235" t="str">
        <f>IF('SDG17'!L46="","",'SDG17'!L46)</f>
        <v>Planeación Institucional</v>
      </c>
      <c r="H63" s="235" t="str">
        <f>IF('SDG17'!M46="","",'SDG17'!M46)</f>
        <v>Comunicaciones / Vicerrectorías y unidades responsables por ODS</v>
      </c>
      <c r="I63" s="235" t="str">
        <f>'SDG17'!P46</f>
        <v>Media</v>
      </c>
      <c r="J63" s="235" t="str">
        <f>'SDG17'!Q46</f>
        <v>Pendiente</v>
      </c>
      <c r="K63" s="235" t="str">
        <f>IF('SDG17'!F46="","",'SDG17'!F46)</f>
        <v/>
      </c>
      <c r="L63" s="235" t="str">
        <f>IF('SDG17'!G46="","",'SDG17'!G46)</f>
        <v/>
      </c>
      <c r="M63" s="235" t="str">
        <f>IF('SDG17'!H46="","",'SDG17'!H46)</f>
        <v/>
      </c>
      <c r="N63" s="235" t="str">
        <f>IF('SDG17'!I46="","",'SDG17'!I46)</f>
        <v/>
      </c>
      <c r="O63" s="235" t="str">
        <f>IF('SDG17'!J46="","",'SDG17'!J46)</f>
        <v/>
      </c>
    </row>
    <row r="64" spans="1:15" ht="75">
      <c r="A64" s="235" t="str">
        <f t="shared" si="3"/>
        <v>ODS 17</v>
      </c>
      <c r="B64" s="235" t="str">
        <f>'SDG17'!B49</f>
        <v>17.3.13</v>
      </c>
      <c r="C64" s="235" t="str">
        <f>'SDG17'!D49</f>
        <v>Publicación de informes sobre los ODS - por ODS
Publicar el progreso con respecto al ODS 13, ya sea individualmente o dentro de un informe anual</v>
      </c>
      <c r="D64" s="299">
        <f>'SDG17'!O49</f>
        <v>1.6E-2</v>
      </c>
      <c r="E64" s="235" t="str">
        <f>'SDG17'!N49</f>
        <v>Evidencia pública</v>
      </c>
      <c r="F64" s="235" t="str">
        <f>'SDG17'!K49</f>
        <v>Planeación Institucional</v>
      </c>
      <c r="G64" s="235" t="str">
        <f>IF('SDG17'!L49="","",'SDG17'!L49)</f>
        <v>Planeación Institucional</v>
      </c>
      <c r="H64" s="235" t="str">
        <f>IF('SDG17'!M49="","",'SDG17'!M49)</f>
        <v>Comunicaciones / Vicerrectorías y unidades responsables por ODS</v>
      </c>
      <c r="I64" s="235" t="str">
        <f>'SDG17'!P49</f>
        <v>Media</v>
      </c>
      <c r="J64" s="235" t="str">
        <f>'SDG17'!Q49</f>
        <v>Pendiente</v>
      </c>
      <c r="K64" s="235" t="str">
        <f>IF('SDG17'!F49="","",'SDG17'!F49)</f>
        <v/>
      </c>
      <c r="L64" s="235" t="str">
        <f>IF('SDG17'!G49="","",'SDG17'!G49)</f>
        <v/>
      </c>
      <c r="M64" s="235" t="str">
        <f>IF('SDG17'!H49="","",'SDG17'!H49)</f>
        <v/>
      </c>
      <c r="N64" s="235" t="str">
        <f>IF('SDG17'!I49="","",'SDG17'!I49)</f>
        <v/>
      </c>
      <c r="O64" s="235" t="str">
        <f>IF('SDG17'!J49="","",'SDG17'!J49)</f>
        <v/>
      </c>
    </row>
    <row r="65" spans="1:15" ht="75">
      <c r="A65" s="235" t="str">
        <f t="shared" si="3"/>
        <v>ODS 17</v>
      </c>
      <c r="B65" s="235" t="str">
        <f>'SDG17'!B52</f>
        <v>17.3.14</v>
      </c>
      <c r="C65" s="235" t="str">
        <f>'SDG17'!D52</f>
        <v>Publicación de informes sobre los ODS - por ODS
Publicar el progreso con respecto al ODS 14, ya sea individualmente o dentro de un informe anual</v>
      </c>
      <c r="D65" s="299">
        <f>'SDG17'!O52</f>
        <v>1.6E-2</v>
      </c>
      <c r="E65" s="235" t="str">
        <f>'SDG17'!N52</f>
        <v>Evidencia pública</v>
      </c>
      <c r="F65" s="235" t="str">
        <f>'SDG17'!K52</f>
        <v>Planeación Institucional</v>
      </c>
      <c r="G65" s="235" t="str">
        <f>IF('SDG17'!L52="","",'SDG17'!L52)</f>
        <v>Planeación Institucional</v>
      </c>
      <c r="H65" s="235" t="str">
        <f>IF('SDG17'!M52="","",'SDG17'!M52)</f>
        <v>Comunicaciones / Vicerrectorías y unidades responsables por ODS</v>
      </c>
      <c r="I65" s="235" t="str">
        <f>'SDG17'!P52</f>
        <v>Media</v>
      </c>
      <c r="J65" s="235" t="str">
        <f>'SDG17'!Q52</f>
        <v>Pendiente</v>
      </c>
      <c r="K65" s="235" t="str">
        <f>IF('SDG17'!F52="","",'SDG17'!F52)</f>
        <v/>
      </c>
      <c r="L65" s="235" t="str">
        <f>IF('SDG17'!G52="","",'SDG17'!G52)</f>
        <v/>
      </c>
      <c r="M65" s="235" t="str">
        <f>IF('SDG17'!H52="","",'SDG17'!H52)</f>
        <v/>
      </c>
      <c r="N65" s="235" t="str">
        <f>IF('SDG17'!I52="","",'SDG17'!I52)</f>
        <v/>
      </c>
      <c r="O65" s="235" t="str">
        <f>IF('SDG17'!J52="","",'SDG17'!J52)</f>
        <v/>
      </c>
    </row>
    <row r="66" spans="1:15" ht="75">
      <c r="A66" s="235" t="str">
        <f t="shared" si="3"/>
        <v>ODS 17</v>
      </c>
      <c r="B66" s="235" t="str">
        <f>'SDG17'!B55</f>
        <v>17.3.15</v>
      </c>
      <c r="C66" s="235" t="str">
        <f>'SDG17'!D55</f>
        <v>Publicación de informes sobre los ODS - por ODS
Publicar el progreso con respecto al ODS 15, ya sea individualmente o dentro de un informe anual</v>
      </c>
      <c r="D66" s="299">
        <f>'SDG17'!O55</f>
        <v>1.6E-2</v>
      </c>
      <c r="E66" s="235" t="str">
        <f>'SDG17'!N55</f>
        <v>Evidencia pública</v>
      </c>
      <c r="F66" s="235" t="str">
        <f>'SDG17'!K55</f>
        <v>Planeación Institucional</v>
      </c>
      <c r="G66" s="235" t="str">
        <f>IF('SDG17'!L55="","",'SDG17'!L55)</f>
        <v>Planeación Institucional</v>
      </c>
      <c r="H66" s="235" t="str">
        <f>IF('SDG17'!M55="","",'SDG17'!M55)</f>
        <v>Comunicaciones / Vicerrectorías y unidades responsables por ODS</v>
      </c>
      <c r="I66" s="235" t="str">
        <f>'SDG17'!P55</f>
        <v>Media</v>
      </c>
      <c r="J66" s="235" t="str">
        <f>'SDG17'!Q55</f>
        <v>Pendiente</v>
      </c>
      <c r="K66" s="235" t="str">
        <f>IF('SDG17'!F55="","",'SDG17'!F55)</f>
        <v/>
      </c>
      <c r="L66" s="235" t="str">
        <f>IF('SDG17'!G55="","",'SDG17'!G55)</f>
        <v/>
      </c>
      <c r="M66" s="235" t="str">
        <f>IF('SDG17'!H55="","",'SDG17'!H55)</f>
        <v/>
      </c>
      <c r="N66" s="235" t="str">
        <f>IF('SDG17'!I55="","",'SDG17'!I55)</f>
        <v/>
      </c>
      <c r="O66" s="235" t="str">
        <f>IF('SDG17'!J55="","",'SDG17'!J55)</f>
        <v/>
      </c>
    </row>
    <row r="67" spans="1:15" ht="75">
      <c r="A67" s="235" t="str">
        <f t="shared" si="3"/>
        <v>ODS 17</v>
      </c>
      <c r="B67" s="235" t="str">
        <f>'SDG17'!B58</f>
        <v>17.3.16</v>
      </c>
      <c r="C67" s="235" t="str">
        <f>'SDG17'!D58</f>
        <v>Publicación de informes sobre los ODS - por ODS
Publicar el progreso con respecto al ODS 16, ya sea individualmente o dentro de un informe anual</v>
      </c>
      <c r="D67" s="299">
        <f>'SDG17'!O58</f>
        <v>1.6E-2</v>
      </c>
      <c r="E67" s="235" t="str">
        <f>'SDG17'!N58</f>
        <v>Evidencia pública</v>
      </c>
      <c r="F67" s="235" t="str">
        <f>'SDG17'!K58</f>
        <v>Planeación Institucional</v>
      </c>
      <c r="G67" s="235" t="str">
        <f>IF('SDG17'!L58="","",'SDG17'!L58)</f>
        <v>Planeación Institucional</v>
      </c>
      <c r="H67" s="235" t="str">
        <f>IF('SDG17'!M58="","",'SDG17'!M58)</f>
        <v>Comunicaciones / Vicerrectorías y unidades responsables por ODS</v>
      </c>
      <c r="I67" s="235" t="str">
        <f>'SDG17'!P58</f>
        <v>Media</v>
      </c>
      <c r="J67" s="235" t="str">
        <f>'SDG17'!Q58</f>
        <v>Pendiente</v>
      </c>
      <c r="K67" s="235" t="str">
        <f>IF('SDG17'!F58="","",'SDG17'!F58)</f>
        <v/>
      </c>
      <c r="L67" s="235" t="str">
        <f>IF('SDG17'!G58="","",'SDG17'!G58)</f>
        <v/>
      </c>
      <c r="M67" s="235" t="str">
        <f>IF('SDG17'!H58="","",'SDG17'!H58)</f>
        <v/>
      </c>
      <c r="N67" s="235" t="str">
        <f>IF('SDG17'!I58="","",'SDG17'!I58)</f>
        <v/>
      </c>
      <c r="O67" s="235" t="str">
        <f>IF('SDG17'!J58="","",'SDG17'!J58)</f>
        <v/>
      </c>
    </row>
    <row r="68" spans="1:15" ht="75">
      <c r="A68" s="235" t="str">
        <f t="shared" si="3"/>
        <v>ODS 17</v>
      </c>
      <c r="B68" s="235" t="str">
        <f>'SDG17'!B61</f>
        <v>17.3.17</v>
      </c>
      <c r="C68" s="235" t="str">
        <f>'SDG17'!D61</f>
        <v>Publicación de informes sobre los ODS - por ODS
Publicar el progreso con respecto al ODS 17, ya sea individualmente o dentro de un informe anual</v>
      </c>
      <c r="D68" s="299">
        <f>'SDG17'!O61</f>
        <v>1.6E-2</v>
      </c>
      <c r="E68" s="235" t="str">
        <f>'SDG17'!N61</f>
        <v>Evidencia pública</v>
      </c>
      <c r="F68" s="235" t="str">
        <f>'SDG17'!K61</f>
        <v>Planeación Institucional</v>
      </c>
      <c r="G68" s="235" t="str">
        <f>IF('SDG17'!L61="","",'SDG17'!L61)</f>
        <v>Planeación Institucional</v>
      </c>
      <c r="H68" s="235" t="str">
        <f>IF('SDG17'!M61="","",'SDG17'!M61)</f>
        <v>Comunicaciones / Vicerrectorías y unidades responsables por ODS</v>
      </c>
      <c r="I68" s="235" t="str">
        <f>'SDG17'!P61</f>
        <v>Media</v>
      </c>
      <c r="J68" s="235" t="str">
        <f>'SDG17'!Q61</f>
        <v>Pendiente</v>
      </c>
      <c r="K68" s="235" t="str">
        <f>IF('SDG17'!F61="","",'SDG17'!F61)</f>
        <v/>
      </c>
      <c r="L68" s="235" t="str">
        <f>IF('SDG17'!G61="","",'SDG17'!G61)</f>
        <v/>
      </c>
      <c r="M68" s="235" t="str">
        <f>IF('SDG17'!H61="","",'SDG17'!H61)</f>
        <v/>
      </c>
      <c r="N68" s="235" t="str">
        <f>IF('SDG17'!I61="","",'SDG17'!I61)</f>
        <v/>
      </c>
      <c r="O68" s="235" t="str">
        <f>IF('SDG17'!J61="","",'SDG17'!J61)</f>
        <v/>
      </c>
    </row>
    <row r="69" spans="1:15" ht="90">
      <c r="A69" s="235" t="str">
        <f t="shared" si="3"/>
        <v>ODS 17</v>
      </c>
      <c r="B69" s="235" t="str">
        <f>'SDG17'!B65</f>
        <v>17.4.1</v>
      </c>
      <c r="C69" s="235" t="str">
        <f>'SDG17'!D65</f>
        <v>Educación para los ODS: compromiso con una educación significativa
Tener un compromiso con una educación significativa en torno a los ODS en toda la universidad, relevante y aplicable a todos los estudiantes</v>
      </c>
      <c r="D69" s="299">
        <f>'SDG17'!O65</f>
        <v>9.06E-2</v>
      </c>
      <c r="E69" s="235" t="str">
        <f>'SDG17'!N65</f>
        <v>Evidencia pública</v>
      </c>
      <c r="F69" s="235" t="str">
        <f>'SDG17'!K65</f>
        <v>Planeación Institucional</v>
      </c>
      <c r="G69" s="235" t="str">
        <f>IF('SDG17'!L65="","",'SDG17'!L65)</f>
        <v>Planeación Institucional</v>
      </c>
      <c r="H69" s="235" t="str">
        <f>IF('SDG17'!M65="","",'SDG17'!M65)</f>
        <v>Vicerrectoría de Enseñanza / Comunicaciones</v>
      </c>
      <c r="I69" s="235" t="str">
        <f>'SDG17'!P65</f>
        <v>Media</v>
      </c>
      <c r="J69" s="235" t="str">
        <f>'SDG17'!Q65</f>
        <v>Pendiente</v>
      </c>
      <c r="K69" s="235" t="str">
        <f>IF('SDG17'!F65="","",'SDG17'!F65)</f>
        <v/>
      </c>
      <c r="L69" s="235" t="str">
        <f>IF('SDG17'!G65="","",'SDG17'!G65)</f>
        <v/>
      </c>
      <c r="M69" s="235" t="str">
        <f>IF('SDG17'!H65="","",'SDG17'!H65)</f>
        <v/>
      </c>
      <c r="N69" s="235" t="str">
        <f>IF('SDG17'!I65="","",'SDG17'!I65)</f>
        <v/>
      </c>
      <c r="O69" s="235" t="str">
        <f>IF('SDG17'!J65="","",'SDG17'!J65)</f>
        <v/>
      </c>
    </row>
    <row r="70" spans="1:15" ht="75">
      <c r="A70" s="235" t="str">
        <f t="shared" si="3"/>
        <v>ODS 17</v>
      </c>
      <c r="B70" s="235" t="str">
        <f>'SDG17'!B69</f>
        <v>17.4.2</v>
      </c>
      <c r="C70" s="235" t="str">
        <f>'SDG17'!D69</f>
        <v>Cursos específicos de educación para los ODS sobre sostenibilidad
Tener cursos dedicados (títulos completos u optativos) que aborden la sostenibilidad y los ODS.</v>
      </c>
      <c r="D70" s="299">
        <f>'SDG17'!O69</f>
        <v>9.06E-2</v>
      </c>
      <c r="E70" s="235" t="str">
        <f>'SDG17'!N69</f>
        <v>Evidencia pública</v>
      </c>
      <c r="F70" s="235" t="str">
        <f>'SDG17'!K69</f>
        <v>Planeación Institucional</v>
      </c>
      <c r="G70" s="235" t="str">
        <f>IF('SDG17'!L69="","",'SDG17'!L69)</f>
        <v>Planeación Institucional</v>
      </c>
      <c r="H70" s="235" t="str">
        <f>IF('SDG17'!M69="","",'SDG17'!M69)</f>
        <v>EDUCON / DRNI / Desarrollo Profesoral</v>
      </c>
      <c r="I70" s="235" t="str">
        <f>'SDG17'!P69</f>
        <v>Media</v>
      </c>
      <c r="J70" s="235" t="str">
        <f>'SDG17'!Q69</f>
        <v>Pendiente</v>
      </c>
      <c r="K70" s="235" t="str">
        <f>IF('SDG17'!F69="","",'SDG17'!F69)</f>
        <v/>
      </c>
      <c r="L70" s="235" t="str">
        <f>IF('SDG17'!G69="","",'SDG17'!G69)</f>
        <v/>
      </c>
      <c r="M70" s="235" t="str">
        <f>IF('SDG17'!H69="","",'SDG17'!H69)</f>
        <v/>
      </c>
      <c r="N70" s="235" t="str">
        <f>IF('SDG17'!I69="","",'SDG17'!I69)</f>
        <v/>
      </c>
      <c r="O70" s="235" t="str">
        <f>IF('SDG17'!J69="","",'SDG17'!J69)</f>
        <v/>
      </c>
    </row>
    <row r="71" spans="1:15" ht="90">
      <c r="A71" s="235" t="str">
        <f t="shared" si="3"/>
        <v>ODS 17</v>
      </c>
      <c r="B71" s="235" t="str">
        <f>'SDG17'!B70</f>
        <v>17.4.3</v>
      </c>
      <c r="C71" s="235" t="str">
        <f>'SDG17'!D70</f>
        <v>Educación para los ODS en la comunidad en general
Tener actividades educativas de divulgación dedicadas para la comunidad en general, que podrían incluir ex alumnos, residentes locales, personas desplazadas</v>
      </c>
      <c r="D71" s="299">
        <f>'SDG17'!O70</f>
        <v>9.06E-2</v>
      </c>
      <c r="E71" s="235" t="str">
        <f>'SDG17'!N70</f>
        <v>Evidencia pública</v>
      </c>
      <c r="F71" s="235" t="str">
        <f>'SDG17'!K70</f>
        <v>Planeación Institucional</v>
      </c>
      <c r="G71" s="235" t="str">
        <f>IF('SDG17'!L70="","",'SDG17'!L70)</f>
        <v>UDES Verde</v>
      </c>
      <c r="H71" s="235" t="str">
        <f>IF('SDG17'!M70="","",'SDG17'!M70)</f>
        <v>Graduados / EDUCON / Desarrollo Profesoral / Planeación Institucional</v>
      </c>
      <c r="I71" s="235" t="str">
        <f>'SDG17'!P70</f>
        <v>Media</v>
      </c>
      <c r="J71" s="235" t="str">
        <f>'SDG17'!Q70</f>
        <v>Pendiente</v>
      </c>
      <c r="K71" s="235" t="str">
        <f>IF('SDG17'!F70="","",'SDG17'!F70)</f>
        <v/>
      </c>
      <c r="L71" s="235" t="str">
        <f>IF('SDG17'!G70="","",'SDG17'!G70)</f>
        <v/>
      </c>
      <c r="M71" s="235" t="str">
        <f>IF('SDG17'!H70="","",'SDG17'!H70)</f>
        <v/>
      </c>
      <c r="N71" s="235" t="str">
        <f>IF('SDG17'!I70="","",'SDG17'!I70)</f>
        <v/>
      </c>
      <c r="O71" s="235" t="str">
        <f>IF('SDG17'!J70="","",'SDG17'!J70)</f>
        <v/>
      </c>
    </row>
    <row r="72" spans="1:15" ht="105">
      <c r="A72" s="235" t="str">
        <f t="shared" si="3"/>
        <v>ODS 17</v>
      </c>
      <c r="B72" s="235" t="str">
        <f>'SDG17'!B74</f>
        <v>17.4.4</v>
      </c>
      <c r="C72" s="235" t="str">
        <f>'SDG17'!D74</f>
        <v>Alfabetización en sostenibilidad
Esta pregunta explora cómo evalúa la capacidad de sus estudiantes para aprender y retener conceptos clave de sostenibilidad. Para 2026, esta pregunta no puntúa. Medir la alfabetización en sostenibilidad de los estudiantes.</v>
      </c>
      <c r="D72" s="299">
        <f>'SDG17'!O74</f>
        <v>0</v>
      </c>
      <c r="E72" s="235" t="str">
        <f>'SDG17'!N74</f>
        <v>Evidencia (sin puntaje 2026)</v>
      </c>
      <c r="F72" s="235" t="str">
        <f>'SDG17'!K74</f>
        <v>Planeación Institucional</v>
      </c>
      <c r="G72" s="235" t="str">
        <f>IF('SDG17'!L74="","",'SDG17'!L74)</f>
        <v>DRNI</v>
      </c>
      <c r="H72" s="235" t="str">
        <f>IF('SDG17'!M74="","",'SDG17'!M74)</f>
        <v>Planeación Institucional</v>
      </c>
      <c r="I72" s="235" t="str">
        <f>'SDG17'!P74</f>
        <v>Baja</v>
      </c>
      <c r="J72" s="235" t="str">
        <f>'SDG17'!Q74</f>
        <v>Pendiente</v>
      </c>
      <c r="K72" s="235" t="str">
        <f>IF('SDG17'!F74="","",'SDG17'!F74)</f>
        <v/>
      </c>
      <c r="L72" s="235" t="str">
        <f>IF('SDG17'!G74="","",'SDG17'!G74)</f>
        <v/>
      </c>
      <c r="M72" s="235" t="str">
        <f>IF('SDG17'!H74="","",'SDG17'!H74)</f>
        <v/>
      </c>
      <c r="N72" s="235" t="str">
        <f>IF('SDG17'!I74="","",'SDG17'!I74)</f>
        <v/>
      </c>
      <c r="O72" s="235" t="str">
        <f>IF('SDG17'!J74="","",'SDG17'!J74)</f>
        <v>Indicador sin puntaje en la edición 2026. Herramienta identificada: Sulitest TASK.</v>
      </c>
    </row>
  </sheetData>
  <mergeCells count="6">
    <mergeCell ref="A1:O1"/>
    <mergeCell ref="A2:O2"/>
    <mergeCell ref="A3:O3"/>
    <mergeCell ref="K5:O5"/>
    <mergeCell ref="K6:O6"/>
    <mergeCell ref="A4:O4"/>
  </mergeCells>
  <conditionalFormatting sqref="I9:I72">
    <cfRule type="expression" dxfId="6" priority="1">
      <formula>I9="Alta"</formula>
    </cfRule>
    <cfRule type="expression" dxfId="5" priority="2">
      <formula>I9="Media"</formula>
    </cfRule>
    <cfRule type="expression" dxfId="4" priority="3">
      <formula>I9="Baja"</formula>
    </cfRule>
  </conditionalFormatting>
  <conditionalFormatting sqref="J9:J72">
    <cfRule type="expression" dxfId="3" priority="4">
      <formula>J9="Pendiente"</formula>
    </cfRule>
    <cfRule type="expression" dxfId="2" priority="5">
      <formula>J9="En gestión"</formula>
    </cfRule>
    <cfRule type="expression" dxfId="1" priority="6">
      <formula>J9="Por validar"</formula>
    </cfRule>
    <cfRule type="expression" dxfId="0" priority="7">
      <formula>J9="Completo"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2026-10-14T13:25:22Z</dcterms:created>
  <dcterms:modified xsi:type="dcterms:W3CDTF">2026-10-14T13:25:22Z</dcterms:modified>
  <cp:category/>
  <cp:contentStatus/>
</cp:coreProperties>
</file>